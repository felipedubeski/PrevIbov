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prbr0-my.sharepoint.com/personal/felipedubeski_ufpr_br/Documents/Mestrado/Disciplinas/0000 - PUBLICACOES/USP/"/>
    </mc:Choice>
  </mc:AlternateContent>
  <xr:revisionPtr revIDLastSave="852" documentId="8_{1F6EA897-DF2E-B843-BD6B-5D8F39C9AEDF}" xr6:coauthVersionLast="47" xr6:coauthVersionMax="47" xr10:uidLastSave="{D7C2F662-D9D9-7F45-8192-0C9EC30C8714}"/>
  <bookViews>
    <workbookView xWindow="0" yWindow="500" windowWidth="38400" windowHeight="21100" xr2:uid="{7F94B468-0C84-6F43-B2F3-643F998052D8}"/>
  </bookViews>
  <sheets>
    <sheet name="GERAL" sheetId="10" r:id="rId1"/>
    <sheet name="APER3" sheetId="1" r:id="rId2"/>
    <sheet name="BBSE3" sheetId="2" r:id="rId3"/>
    <sheet name="BRGE3" sheetId="3" r:id="rId4"/>
    <sheet name="CSAB3" sheetId="4" r:id="rId5"/>
    <sheet name="CXSE3" sheetId="5" r:id="rId6"/>
    <sheet name="IRBR3" sheetId="6" r:id="rId7"/>
    <sheet name="PSSA3" sheetId="7" r:id="rId8"/>
    <sheet name="SULA3" sheetId="8" r:id="rId9"/>
    <sheet name="WIZC3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8" l="1"/>
  <c r="D44" i="8"/>
  <c r="E44" i="8"/>
  <c r="F44" i="8"/>
  <c r="G44" i="8"/>
  <c r="H44" i="8"/>
  <c r="I44" i="8"/>
  <c r="J44" i="8"/>
  <c r="C45" i="8"/>
  <c r="D45" i="8"/>
  <c r="E45" i="8"/>
  <c r="F45" i="8"/>
  <c r="G45" i="8"/>
  <c r="H45" i="8"/>
  <c r="I45" i="8"/>
  <c r="J45" i="8"/>
  <c r="C46" i="8"/>
  <c r="D46" i="8"/>
  <c r="E46" i="8"/>
  <c r="F46" i="8"/>
  <c r="G46" i="8"/>
  <c r="H46" i="8"/>
  <c r="I46" i="8"/>
  <c r="J46" i="8"/>
  <c r="C48" i="8"/>
  <c r="D48" i="8"/>
  <c r="E48" i="8"/>
  <c r="F48" i="8"/>
  <c r="G48" i="8"/>
  <c r="H48" i="8"/>
  <c r="I48" i="8"/>
  <c r="J48" i="8"/>
  <c r="B48" i="8"/>
  <c r="B46" i="8"/>
  <c r="B45" i="8"/>
  <c r="C41" i="8"/>
  <c r="D41" i="8"/>
  <c r="E41" i="8"/>
  <c r="F41" i="8"/>
  <c r="G41" i="8"/>
  <c r="H41" i="8"/>
  <c r="I41" i="8"/>
  <c r="J41" i="8"/>
  <c r="B41" i="8"/>
  <c r="C35" i="8"/>
  <c r="D35" i="8"/>
  <c r="E35" i="8"/>
  <c r="F35" i="8"/>
  <c r="G35" i="8"/>
  <c r="H35" i="8"/>
  <c r="I35" i="8"/>
  <c r="J35" i="8"/>
  <c r="C36" i="8"/>
  <c r="D36" i="8"/>
  <c r="E36" i="8"/>
  <c r="F36" i="8"/>
  <c r="G36" i="8"/>
  <c r="H36" i="8"/>
  <c r="I36" i="8"/>
  <c r="J36" i="8"/>
  <c r="B35" i="8"/>
  <c r="C28" i="8"/>
  <c r="D28" i="8"/>
  <c r="E28" i="8"/>
  <c r="F28" i="8"/>
  <c r="G28" i="8"/>
  <c r="H28" i="8"/>
  <c r="I28" i="8"/>
  <c r="J28" i="8"/>
  <c r="C29" i="8"/>
  <c r="D29" i="8"/>
  <c r="E29" i="8"/>
  <c r="F29" i="8"/>
  <c r="G29" i="8"/>
  <c r="H29" i="8"/>
  <c r="I29" i="8"/>
  <c r="J29" i="8"/>
  <c r="C30" i="8"/>
  <c r="D30" i="8"/>
  <c r="E30" i="8"/>
  <c r="F30" i="8"/>
  <c r="G30" i="8"/>
  <c r="H30" i="8"/>
  <c r="I30" i="8"/>
  <c r="J30" i="8"/>
  <c r="C44" i="7"/>
  <c r="D44" i="7"/>
  <c r="E44" i="7"/>
  <c r="F44" i="7"/>
  <c r="G44" i="7"/>
  <c r="H44" i="7"/>
  <c r="I44" i="7"/>
  <c r="J44" i="7"/>
  <c r="C45" i="7"/>
  <c r="D45" i="7"/>
  <c r="E45" i="7"/>
  <c r="F45" i="7"/>
  <c r="G45" i="7"/>
  <c r="H45" i="7"/>
  <c r="I45" i="7"/>
  <c r="J45" i="7"/>
  <c r="C46" i="7"/>
  <c r="D46" i="7"/>
  <c r="E46" i="7"/>
  <c r="F46" i="7"/>
  <c r="G46" i="7"/>
  <c r="H46" i="7"/>
  <c r="I46" i="7"/>
  <c r="J46" i="7"/>
  <c r="C48" i="7"/>
  <c r="D48" i="7"/>
  <c r="E48" i="7"/>
  <c r="F48" i="7"/>
  <c r="G48" i="7"/>
  <c r="H48" i="7"/>
  <c r="I48" i="7"/>
  <c r="J48" i="7"/>
  <c r="B45" i="7"/>
  <c r="C41" i="7"/>
  <c r="D41" i="7"/>
  <c r="E41" i="7"/>
  <c r="F41" i="7"/>
  <c r="G41" i="7"/>
  <c r="H41" i="7"/>
  <c r="I41" i="7"/>
  <c r="J41" i="7"/>
  <c r="C35" i="7"/>
  <c r="D35" i="7"/>
  <c r="E35" i="7"/>
  <c r="F35" i="7"/>
  <c r="G35" i="7"/>
  <c r="H35" i="7"/>
  <c r="I35" i="7"/>
  <c r="J35" i="7"/>
  <c r="C36" i="7"/>
  <c r="D36" i="7"/>
  <c r="E36" i="7"/>
  <c r="F36" i="7"/>
  <c r="G36" i="7"/>
  <c r="H36" i="7"/>
  <c r="I36" i="7"/>
  <c r="J36" i="7"/>
  <c r="C28" i="7"/>
  <c r="D28" i="7"/>
  <c r="E28" i="7"/>
  <c r="F28" i="7"/>
  <c r="G28" i="7"/>
  <c r="H28" i="7"/>
  <c r="I28" i="7"/>
  <c r="J28" i="7"/>
  <c r="C29" i="7"/>
  <c r="D29" i="7"/>
  <c r="E29" i="7"/>
  <c r="F29" i="7"/>
  <c r="G29" i="7"/>
  <c r="H29" i="7"/>
  <c r="I29" i="7"/>
  <c r="J29" i="7"/>
  <c r="C30" i="7"/>
  <c r="D30" i="7"/>
  <c r="E30" i="7"/>
  <c r="F30" i="7"/>
  <c r="G30" i="7"/>
  <c r="H30" i="7"/>
  <c r="I30" i="7"/>
  <c r="J30" i="7"/>
  <c r="B48" i="6"/>
  <c r="C44" i="6"/>
  <c r="D44" i="6"/>
  <c r="E44" i="6"/>
  <c r="F44" i="6"/>
  <c r="G44" i="6"/>
  <c r="H44" i="6"/>
  <c r="I44" i="6"/>
  <c r="J44" i="6"/>
  <c r="C45" i="6"/>
  <c r="D45" i="6"/>
  <c r="E45" i="6"/>
  <c r="F45" i="6"/>
  <c r="G45" i="6"/>
  <c r="H45" i="6"/>
  <c r="I45" i="6"/>
  <c r="J45" i="6"/>
  <c r="C46" i="6"/>
  <c r="D46" i="6"/>
  <c r="E46" i="6"/>
  <c r="F46" i="6"/>
  <c r="G46" i="6"/>
  <c r="H46" i="6"/>
  <c r="I46" i="6"/>
  <c r="J46" i="6"/>
  <c r="C48" i="6"/>
  <c r="D48" i="6"/>
  <c r="E48" i="6"/>
  <c r="F48" i="6"/>
  <c r="G48" i="6"/>
  <c r="H48" i="6"/>
  <c r="I48" i="6"/>
  <c r="J48" i="6"/>
  <c r="B46" i="6"/>
  <c r="B45" i="6"/>
  <c r="C41" i="6"/>
  <c r="D41" i="6"/>
  <c r="E41" i="6"/>
  <c r="F41" i="6"/>
  <c r="G41" i="6"/>
  <c r="H41" i="6"/>
  <c r="I41" i="6"/>
  <c r="J41" i="6"/>
  <c r="B41" i="6"/>
  <c r="C36" i="6"/>
  <c r="D36" i="6"/>
  <c r="E36" i="6"/>
  <c r="F36" i="6"/>
  <c r="G36" i="6"/>
  <c r="H36" i="6"/>
  <c r="I36" i="6"/>
  <c r="J36" i="6"/>
  <c r="B36" i="6"/>
  <c r="C35" i="6"/>
  <c r="D35" i="6"/>
  <c r="E35" i="6"/>
  <c r="F35" i="6"/>
  <c r="G35" i="6"/>
  <c r="H35" i="6"/>
  <c r="I35" i="6"/>
  <c r="J35" i="6"/>
  <c r="C28" i="6"/>
  <c r="D28" i="6"/>
  <c r="E28" i="6"/>
  <c r="F28" i="6"/>
  <c r="G28" i="6"/>
  <c r="H28" i="6"/>
  <c r="I28" i="6"/>
  <c r="J28" i="6"/>
  <c r="C29" i="6"/>
  <c r="D29" i="6"/>
  <c r="E29" i="6"/>
  <c r="F29" i="6"/>
  <c r="G29" i="6"/>
  <c r="H29" i="6"/>
  <c r="I29" i="6"/>
  <c r="J29" i="6"/>
  <c r="C30" i="6"/>
  <c r="D30" i="6"/>
  <c r="E30" i="6"/>
  <c r="F30" i="6"/>
  <c r="G30" i="6"/>
  <c r="H30" i="6"/>
  <c r="I30" i="6"/>
  <c r="J30" i="6"/>
  <c r="C49" i="5"/>
  <c r="D49" i="5"/>
  <c r="E49" i="5"/>
  <c r="F49" i="5"/>
  <c r="G49" i="5"/>
  <c r="H49" i="5"/>
  <c r="I49" i="5"/>
  <c r="J49" i="5"/>
  <c r="B49" i="5"/>
  <c r="C45" i="5"/>
  <c r="D45" i="5"/>
  <c r="E45" i="5"/>
  <c r="F45" i="5"/>
  <c r="G45" i="5"/>
  <c r="H45" i="5"/>
  <c r="I45" i="5"/>
  <c r="J45" i="5"/>
  <c r="C46" i="5"/>
  <c r="D46" i="5"/>
  <c r="E46" i="5"/>
  <c r="F46" i="5"/>
  <c r="G46" i="5"/>
  <c r="H46" i="5"/>
  <c r="I46" i="5"/>
  <c r="J46" i="5"/>
  <c r="C47" i="5"/>
  <c r="D47" i="5"/>
  <c r="E47" i="5"/>
  <c r="F47" i="5"/>
  <c r="G47" i="5"/>
  <c r="H47" i="5"/>
  <c r="I47" i="5"/>
  <c r="J47" i="5"/>
  <c r="B47" i="5"/>
  <c r="B46" i="5"/>
  <c r="C42" i="5"/>
  <c r="D42" i="5"/>
  <c r="E42" i="5"/>
  <c r="F42" i="5"/>
  <c r="G42" i="5"/>
  <c r="H42" i="5"/>
  <c r="I42" i="5"/>
  <c r="J42" i="5"/>
  <c r="B42" i="5"/>
  <c r="C36" i="5"/>
  <c r="D36" i="5"/>
  <c r="E36" i="5"/>
  <c r="F36" i="5"/>
  <c r="G36" i="5"/>
  <c r="H36" i="5"/>
  <c r="I36" i="5"/>
  <c r="J36" i="5"/>
  <c r="C37" i="5"/>
  <c r="D37" i="5"/>
  <c r="E37" i="5"/>
  <c r="F37" i="5"/>
  <c r="G37" i="5"/>
  <c r="H37" i="5"/>
  <c r="I37" i="5"/>
  <c r="J37" i="5"/>
  <c r="B37" i="5"/>
  <c r="C29" i="5"/>
  <c r="D29" i="5"/>
  <c r="E29" i="5"/>
  <c r="F29" i="5"/>
  <c r="G29" i="5"/>
  <c r="H29" i="5"/>
  <c r="I29" i="5"/>
  <c r="J29" i="5"/>
  <c r="C30" i="5"/>
  <c r="D30" i="5"/>
  <c r="E30" i="5"/>
  <c r="F30" i="5"/>
  <c r="G30" i="5"/>
  <c r="H30" i="5"/>
  <c r="I30" i="5"/>
  <c r="J30" i="5"/>
  <c r="C31" i="5"/>
  <c r="D31" i="5"/>
  <c r="E31" i="5"/>
  <c r="F31" i="5"/>
  <c r="G31" i="5"/>
  <c r="H31" i="5"/>
  <c r="I31" i="5"/>
  <c r="J31" i="5"/>
  <c r="C48" i="4"/>
  <c r="D48" i="4"/>
  <c r="E48" i="4"/>
  <c r="F48" i="4"/>
  <c r="G48" i="4"/>
  <c r="H48" i="4"/>
  <c r="I48" i="4"/>
  <c r="J48" i="4"/>
  <c r="C44" i="4"/>
  <c r="D44" i="4"/>
  <c r="E44" i="4"/>
  <c r="F44" i="4"/>
  <c r="G44" i="4"/>
  <c r="H44" i="4"/>
  <c r="I44" i="4"/>
  <c r="J44" i="4"/>
  <c r="C45" i="4"/>
  <c r="D45" i="4"/>
  <c r="E45" i="4"/>
  <c r="F45" i="4"/>
  <c r="G45" i="4"/>
  <c r="H45" i="4"/>
  <c r="I45" i="4"/>
  <c r="J45" i="4"/>
  <c r="C46" i="4"/>
  <c r="D46" i="4"/>
  <c r="E46" i="4"/>
  <c r="F46" i="4"/>
  <c r="G46" i="4"/>
  <c r="H46" i="4"/>
  <c r="I46" i="4"/>
  <c r="J46" i="4"/>
  <c r="B46" i="4"/>
  <c r="B48" i="4"/>
  <c r="B45" i="4"/>
  <c r="C41" i="4"/>
  <c r="D41" i="4"/>
  <c r="E41" i="4"/>
  <c r="F41" i="4"/>
  <c r="G41" i="4"/>
  <c r="H41" i="4"/>
  <c r="I41" i="4"/>
  <c r="J41" i="4"/>
  <c r="B41" i="4"/>
  <c r="C35" i="4"/>
  <c r="D35" i="4"/>
  <c r="E35" i="4"/>
  <c r="F35" i="4"/>
  <c r="G35" i="4"/>
  <c r="H35" i="4"/>
  <c r="I35" i="4"/>
  <c r="J35" i="4"/>
  <c r="C36" i="4"/>
  <c r="D36" i="4"/>
  <c r="E36" i="4"/>
  <c r="F36" i="4"/>
  <c r="G36" i="4"/>
  <c r="H36" i="4"/>
  <c r="I36" i="4"/>
  <c r="J36" i="4"/>
  <c r="B36" i="4"/>
  <c r="C28" i="4"/>
  <c r="D28" i="4"/>
  <c r="E28" i="4"/>
  <c r="F28" i="4"/>
  <c r="G28" i="4"/>
  <c r="H28" i="4"/>
  <c r="I28" i="4"/>
  <c r="J28" i="4"/>
  <c r="C29" i="4"/>
  <c r="D29" i="4"/>
  <c r="E29" i="4"/>
  <c r="F29" i="4"/>
  <c r="G29" i="4"/>
  <c r="H29" i="4"/>
  <c r="I29" i="4"/>
  <c r="J29" i="4"/>
  <c r="C30" i="4"/>
  <c r="D30" i="4"/>
  <c r="E30" i="4"/>
  <c r="F30" i="4"/>
  <c r="G30" i="4"/>
  <c r="H30" i="4"/>
  <c r="I30" i="4"/>
  <c r="J30" i="4"/>
  <c r="B28" i="4"/>
  <c r="C48" i="3"/>
  <c r="D48" i="3"/>
  <c r="E48" i="3"/>
  <c r="F48" i="3"/>
  <c r="G48" i="3"/>
  <c r="H48" i="3"/>
  <c r="I48" i="3"/>
  <c r="J48" i="3"/>
  <c r="C45" i="3"/>
  <c r="D45" i="3"/>
  <c r="E45" i="3"/>
  <c r="F45" i="3"/>
  <c r="G45" i="3"/>
  <c r="H45" i="3"/>
  <c r="I45" i="3"/>
  <c r="J45" i="3"/>
  <c r="B45" i="3"/>
  <c r="C46" i="3"/>
  <c r="D46" i="3"/>
  <c r="E46" i="3"/>
  <c r="F46" i="3"/>
  <c r="G46" i="3"/>
  <c r="H46" i="3"/>
  <c r="I46" i="3"/>
  <c r="J46" i="3"/>
  <c r="C44" i="3"/>
  <c r="D44" i="3"/>
  <c r="E44" i="3"/>
  <c r="F44" i="3"/>
  <c r="G44" i="3"/>
  <c r="H44" i="3"/>
  <c r="I44" i="3"/>
  <c r="J44" i="3"/>
  <c r="B44" i="3"/>
  <c r="C41" i="3"/>
  <c r="D41" i="3"/>
  <c r="E41" i="3"/>
  <c r="F41" i="3"/>
  <c r="G41" i="3"/>
  <c r="H41" i="3"/>
  <c r="I41" i="3"/>
  <c r="J41" i="3"/>
  <c r="B41" i="3"/>
  <c r="J36" i="3"/>
  <c r="C35" i="3"/>
  <c r="D35" i="3"/>
  <c r="E35" i="3"/>
  <c r="F35" i="3"/>
  <c r="G35" i="3"/>
  <c r="H35" i="3"/>
  <c r="I35" i="3"/>
  <c r="J35" i="3"/>
  <c r="C36" i="3"/>
  <c r="D36" i="3"/>
  <c r="E36" i="3"/>
  <c r="F36" i="3"/>
  <c r="G36" i="3"/>
  <c r="H36" i="3"/>
  <c r="I36" i="3"/>
  <c r="B36" i="3"/>
  <c r="B35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C30" i="3"/>
  <c r="D30" i="3"/>
  <c r="E30" i="3"/>
  <c r="F30" i="3"/>
  <c r="G30" i="3"/>
  <c r="H30" i="3"/>
  <c r="I30" i="3"/>
  <c r="J30" i="3"/>
  <c r="B28" i="3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36" i="2"/>
  <c r="D36" i="2"/>
  <c r="E36" i="2"/>
  <c r="F36" i="2"/>
  <c r="G36" i="2"/>
  <c r="H36" i="2"/>
  <c r="I36" i="2"/>
  <c r="J36" i="2"/>
  <c r="B36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B29" i="2"/>
  <c r="B28" i="1"/>
  <c r="D48" i="1"/>
  <c r="E48" i="1"/>
  <c r="F48" i="1"/>
  <c r="G48" i="1"/>
  <c r="H48" i="1"/>
  <c r="I48" i="1"/>
  <c r="J48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C48" i="1"/>
  <c r="C46" i="1"/>
  <c r="D41" i="1"/>
  <c r="E41" i="1"/>
  <c r="F41" i="1"/>
  <c r="G41" i="1"/>
  <c r="H41" i="1"/>
  <c r="I41" i="1"/>
  <c r="J41" i="1"/>
  <c r="C41" i="1"/>
  <c r="D36" i="1"/>
  <c r="E36" i="1"/>
  <c r="F36" i="1"/>
  <c r="G36" i="1"/>
  <c r="H36" i="1"/>
  <c r="I36" i="1"/>
  <c r="J36" i="1"/>
  <c r="C36" i="1"/>
  <c r="J30" i="1"/>
  <c r="I30" i="1"/>
  <c r="H30" i="1"/>
  <c r="G30" i="1"/>
  <c r="F30" i="1"/>
  <c r="E30" i="1"/>
  <c r="D30" i="1"/>
  <c r="J29" i="1"/>
  <c r="I29" i="1"/>
  <c r="H29" i="1"/>
  <c r="G29" i="1"/>
  <c r="F29" i="1"/>
  <c r="E29" i="1"/>
  <c r="D29" i="1"/>
  <c r="J28" i="1"/>
  <c r="I28" i="1"/>
  <c r="H28" i="1"/>
  <c r="G28" i="1"/>
  <c r="F28" i="1"/>
  <c r="E28" i="1"/>
  <c r="D28" i="1"/>
  <c r="B29" i="1"/>
  <c r="B30" i="1"/>
  <c r="C29" i="1"/>
  <c r="B29" i="3"/>
  <c r="B30" i="3"/>
  <c r="B29" i="4"/>
  <c r="B30" i="4"/>
  <c r="B28" i="6"/>
  <c r="B29" i="6"/>
  <c r="B30" i="6"/>
  <c r="B36" i="7"/>
  <c r="B48" i="7"/>
  <c r="B36" i="8"/>
  <c r="B28" i="8"/>
  <c r="B29" i="8"/>
  <c r="B30" i="8"/>
  <c r="B29" i="9"/>
  <c r="C45" i="9"/>
  <c r="D45" i="9"/>
  <c r="E45" i="9"/>
  <c r="F45" i="9"/>
  <c r="G45" i="9"/>
  <c r="H45" i="9"/>
  <c r="I45" i="9"/>
  <c r="J45" i="9"/>
  <c r="B45" i="9"/>
  <c r="C48" i="9"/>
  <c r="D48" i="9"/>
  <c r="E48" i="9"/>
  <c r="F48" i="9"/>
  <c r="G48" i="9"/>
  <c r="H48" i="9"/>
  <c r="I48" i="9"/>
  <c r="J48" i="9"/>
  <c r="C44" i="9"/>
  <c r="D44" i="9"/>
  <c r="E44" i="9"/>
  <c r="F44" i="9"/>
  <c r="G44" i="9"/>
  <c r="H44" i="9"/>
  <c r="I44" i="9"/>
  <c r="J44" i="9"/>
  <c r="C46" i="9"/>
  <c r="D46" i="9"/>
  <c r="E46" i="9"/>
  <c r="F46" i="9"/>
  <c r="G46" i="9"/>
  <c r="H46" i="9"/>
  <c r="I46" i="9"/>
  <c r="J46" i="9"/>
  <c r="B44" i="9"/>
  <c r="C41" i="9"/>
  <c r="D41" i="9"/>
  <c r="E41" i="9"/>
  <c r="F41" i="9"/>
  <c r="G41" i="9"/>
  <c r="H41" i="9"/>
  <c r="I41" i="9"/>
  <c r="J41" i="9"/>
  <c r="C36" i="9"/>
  <c r="D36" i="9"/>
  <c r="E36" i="9"/>
  <c r="F36" i="9"/>
  <c r="G36" i="9"/>
  <c r="H36" i="9"/>
  <c r="I36" i="9"/>
  <c r="J36" i="9"/>
  <c r="C28" i="9"/>
  <c r="D28" i="9"/>
  <c r="E28" i="9"/>
  <c r="F28" i="9"/>
  <c r="G28" i="9"/>
  <c r="H28" i="9"/>
  <c r="I28" i="9"/>
  <c r="J28" i="9"/>
  <c r="C29" i="9"/>
  <c r="D29" i="9"/>
  <c r="E29" i="9"/>
  <c r="F29" i="9"/>
  <c r="G29" i="9"/>
  <c r="H29" i="9"/>
  <c r="I29" i="9"/>
  <c r="J29" i="9"/>
  <c r="C30" i="9"/>
  <c r="D30" i="9"/>
  <c r="E30" i="9"/>
  <c r="F30" i="9"/>
  <c r="G30" i="9"/>
  <c r="H30" i="9"/>
  <c r="I30" i="9"/>
  <c r="J30" i="9"/>
  <c r="B36" i="9"/>
  <c r="B28" i="9"/>
  <c r="B30" i="9"/>
  <c r="B41" i="9"/>
  <c r="B48" i="9"/>
  <c r="B46" i="9"/>
  <c r="J35" i="9"/>
  <c r="I35" i="9"/>
  <c r="H35" i="9"/>
  <c r="G35" i="9"/>
  <c r="F35" i="9"/>
  <c r="E35" i="9"/>
  <c r="D35" i="9"/>
  <c r="C35" i="9"/>
  <c r="B35" i="9"/>
  <c r="B44" i="8"/>
  <c r="B46" i="7"/>
  <c r="B44" i="7"/>
  <c r="B41" i="7"/>
  <c r="B35" i="7"/>
  <c r="B30" i="7"/>
  <c r="B29" i="7"/>
  <c r="B28" i="7"/>
  <c r="B44" i="6"/>
  <c r="B35" i="6"/>
  <c r="B45" i="5"/>
  <c r="B36" i="5"/>
  <c r="B31" i="5"/>
  <c r="B30" i="5"/>
  <c r="B29" i="5"/>
  <c r="B44" i="4"/>
  <c r="B35" i="4"/>
  <c r="B48" i="3"/>
  <c r="B46" i="3"/>
  <c r="C48" i="2"/>
  <c r="D48" i="2"/>
  <c r="E48" i="2"/>
  <c r="F48" i="2"/>
  <c r="G48" i="2"/>
  <c r="H48" i="2"/>
  <c r="I48" i="2"/>
  <c r="J48" i="2"/>
  <c r="C41" i="2"/>
  <c r="D41" i="2"/>
  <c r="E41" i="2"/>
  <c r="F41" i="2"/>
  <c r="G41" i="2"/>
  <c r="H41" i="2"/>
  <c r="I41" i="2"/>
  <c r="J41" i="2"/>
  <c r="C35" i="2"/>
  <c r="D35" i="2"/>
  <c r="E35" i="2"/>
  <c r="F35" i="2"/>
  <c r="G35" i="2"/>
  <c r="H35" i="2"/>
  <c r="I35" i="2"/>
  <c r="J35" i="2"/>
  <c r="B41" i="2"/>
  <c r="B44" i="2"/>
  <c r="B45" i="2"/>
  <c r="B46" i="2"/>
  <c r="B48" i="2"/>
  <c r="B35" i="2"/>
  <c r="B30" i="2"/>
  <c r="C35" i="1"/>
  <c r="C45" i="1"/>
  <c r="C44" i="1"/>
  <c r="C28" i="1"/>
  <c r="C30" i="1"/>
</calcChain>
</file>

<file path=xl/sharedStrings.xml><?xml version="1.0" encoding="utf-8"?>
<sst xmlns="http://schemas.openxmlformats.org/spreadsheetml/2006/main" count="450" uniqueCount="52">
  <si>
    <t>ENDIVIDAMENTO DA FIRMA</t>
  </si>
  <si>
    <t>ENDIVIDAMENTO TOTAL</t>
  </si>
  <si>
    <t>ENDIVIDAMENTO DE LONGO PRAZO</t>
  </si>
  <si>
    <t>ENDIVIDAMENTO DE CURTO PRAZO</t>
  </si>
  <si>
    <t>ATIVO TOTAL</t>
  </si>
  <si>
    <t>ATIVO CIRCULANTE</t>
  </si>
  <si>
    <t>ATIVO NÃO CIRCULANTE</t>
  </si>
  <si>
    <t>PASSIVO CIRCULANTE</t>
  </si>
  <si>
    <t>PASSIVO NÃO CIRCULANTE</t>
  </si>
  <si>
    <t>PASSIVO TOTAL</t>
  </si>
  <si>
    <t>EMPRESA</t>
  </si>
  <si>
    <t>APER3</t>
  </si>
  <si>
    <t>VALOR EM MILHÕES</t>
  </si>
  <si>
    <t>DIVIDAS TOTAIS (DIVIDA BRUTA)</t>
  </si>
  <si>
    <t>DESEMPENHO DA FIRMA</t>
  </si>
  <si>
    <t>Q DE TOBIN</t>
  </si>
  <si>
    <t>EVA</t>
  </si>
  <si>
    <t>ROA</t>
  </si>
  <si>
    <t>ROE</t>
  </si>
  <si>
    <t>MARGEM LÍQUIDA</t>
  </si>
  <si>
    <t>LIQUIDEZ CORRENTE</t>
  </si>
  <si>
    <t>LIQUIDEZ GERAL</t>
  </si>
  <si>
    <t>ATIVO REALIZAVEL A LONGO PRAZO</t>
  </si>
  <si>
    <t>LUCRO LÍQUIDO</t>
  </si>
  <si>
    <t>PATRIMÔNIO LÍQUIDO</t>
  </si>
  <si>
    <t>CDI</t>
  </si>
  <si>
    <t>VARIÁVEIS DE CONTROLE</t>
  </si>
  <si>
    <t>DIMENSÃO DA EMPRESA(TAMANHO)</t>
  </si>
  <si>
    <t>DEDUÇÕES FISCAIS</t>
  </si>
  <si>
    <t>GRAU DE IMOBILIZAÇÃO</t>
  </si>
  <si>
    <t>AGRUPAMENTO GENÉRICO DA INDUSTRIA</t>
  </si>
  <si>
    <t>OPORTUNIDADES DE CRESCIMENTO</t>
  </si>
  <si>
    <t>EBITDA (LAJIDA/LAJIR)</t>
  </si>
  <si>
    <t>IMOBILIZADO</t>
  </si>
  <si>
    <t>INVESTIMENTOS</t>
  </si>
  <si>
    <t>COTAÇÃO NÃO AJUSTADA POR PROVENTOS</t>
  </si>
  <si>
    <t>TOTAL DE AÇÕES CALCULADO</t>
  </si>
  <si>
    <t>DIVIDA TOTAL LÍQUIDA</t>
  </si>
  <si>
    <t>PARTICIPAÇÕES ACIONISTAS MINORITÁRIOS</t>
  </si>
  <si>
    <t>VALOR DE MERCADO (M)</t>
  </si>
  <si>
    <t>-</t>
  </si>
  <si>
    <t>PASSIVOS/ATIVOS</t>
  </si>
  <si>
    <t>BBSE3</t>
  </si>
  <si>
    <t>BRGE3</t>
  </si>
  <si>
    <t>CSAB3</t>
  </si>
  <si>
    <t>CXSE3</t>
  </si>
  <si>
    <t>IRBR3</t>
  </si>
  <si>
    <t>PSSA3</t>
  </si>
  <si>
    <t>SULA3</t>
  </si>
  <si>
    <t>WIZC3</t>
  </si>
  <si>
    <t>ANO</t>
  </si>
  <si>
    <t>DIMENSÃO DA EMPRESA (TAMANHO)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</si>
</sst>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 x14ac:knownFonts="1">
    <font>
      <sz val="12"/>
      <color theme="1"/>
      <name val="Aptos Narrow"/>
      <family val="2"/>
      <scheme val="minor"/>
    </font>
    <font>
      <sz val="14"/>
      <color theme="1"/>
      <name val="Helvetica Neue"/>
      <family val="2"/>
    </font>
    <font>
      <b/>
      <sz val="14"/>
      <color rgb="FF2E7D32"/>
      <name val="Helvetica Neue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2E7D32"/>
      <name val="Arial"/>
      <family val="2"/>
    </font>
    <font>
      <b/>
      <sz val="12"/>
      <color rgb="FFD0181E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b/>
      <sz val="14"/>
      <color rgb="FFD0181E"/>
      <name val="Helvetica Neue"/>
      <family val="2"/>
    </font>
    <font>
      <sz val="12"/>
      <color rgb="FFFFFF00"/>
      <name val="Arial"/>
      <family val="2"/>
    </font>
    <font>
      <b/>
      <sz val="12"/>
      <color rgb="FF2E7D32"/>
      <name val="Helvetica Neue"/>
      <family val="2"/>
    </font>
    <font>
      <b/>
      <sz val="12"/>
      <color rgb="FFD0181E"/>
      <name val="Helvetica Neue"/>
      <family val="2"/>
    </font>
    <font>
      <sz val="12"/>
      <color rgb="FF92D050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0" fontId="2" fillId="0" borderId="0" xfId="0" applyNumberFormat="1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2" borderId="0" xfId="0" applyFont="1" applyFill="1"/>
    <xf numFmtId="10" fontId="10" fillId="0" borderId="0" xfId="0" applyNumberFormat="1" applyFont="1"/>
    <xf numFmtId="0" fontId="10" fillId="0" borderId="0" xfId="0" applyFont="1"/>
    <xf numFmtId="10" fontId="11" fillId="0" borderId="0" xfId="0" applyNumberFormat="1" applyFont="1"/>
    <xf numFmtId="10" fontId="6" fillId="0" borderId="0" xfId="0" applyNumberFormat="1" applyFont="1"/>
    <xf numFmtId="10" fontId="7" fillId="0" borderId="0" xfId="0" applyNumberFormat="1" applyFont="1"/>
    <xf numFmtId="0" fontId="6" fillId="0" borderId="0" xfId="0" applyFont="1"/>
    <xf numFmtId="0" fontId="11" fillId="0" borderId="0" xfId="0" applyFont="1"/>
    <xf numFmtId="10" fontId="13" fillId="0" borderId="0" xfId="0" applyNumberFormat="1" applyFont="1"/>
    <xf numFmtId="10" fontId="14" fillId="0" borderId="0" xfId="0" applyNumberFormat="1" applyFont="1"/>
    <xf numFmtId="0" fontId="14" fillId="0" borderId="0" xfId="0" applyFont="1"/>
    <xf numFmtId="0" fontId="13" fillId="0" borderId="0" xfId="0" applyFont="1"/>
    <xf numFmtId="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2" fillId="2" borderId="0" xfId="0" applyFont="1" applyFill="1"/>
    <xf numFmtId="0" fontId="15" fillId="2" borderId="0" xfId="0" applyFont="1" applyFill="1"/>
    <xf numFmtId="4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8D3D-BFE7-FB42-A695-A18EA39CC937}">
  <dimension ref="A1:N82"/>
  <sheetViews>
    <sheetView tabSelected="1" workbookViewId="0">
      <selection activeCell="J68" sqref="J68"/>
    </sheetView>
  </sheetViews>
  <sheetFormatPr baseColWidth="10" defaultRowHeight="16" x14ac:dyDescent="0.2"/>
  <cols>
    <col min="1" max="2" width="10" style="38" customWidth="1"/>
    <col min="3" max="14" width="15" style="38" customWidth="1"/>
    <col min="15" max="16384" width="10.83203125" style="38"/>
  </cols>
  <sheetData>
    <row r="1" spans="1:14" s="37" customFormat="1" ht="59" customHeight="1" x14ac:dyDescent="0.2">
      <c r="A1" s="34" t="s">
        <v>50</v>
      </c>
      <c r="B1" s="35" t="s">
        <v>10</v>
      </c>
      <c r="C1" s="36" t="s">
        <v>41</v>
      </c>
      <c r="D1" s="35" t="s">
        <v>2</v>
      </c>
      <c r="E1" s="35" t="s">
        <v>3</v>
      </c>
      <c r="F1" s="35" t="s">
        <v>16</v>
      </c>
      <c r="G1" s="35" t="s">
        <v>17</v>
      </c>
      <c r="H1" s="35" t="s">
        <v>18</v>
      </c>
      <c r="I1" s="35" t="s">
        <v>19</v>
      </c>
      <c r="J1" s="35" t="s">
        <v>20</v>
      </c>
      <c r="K1" s="35" t="s">
        <v>21</v>
      </c>
      <c r="L1" s="35" t="s">
        <v>51</v>
      </c>
      <c r="M1" s="35" t="s">
        <v>28</v>
      </c>
      <c r="N1" s="35" t="s">
        <v>29</v>
      </c>
    </row>
    <row r="2" spans="1:14" x14ac:dyDescent="0.2">
      <c r="A2" s="8">
        <v>2024</v>
      </c>
      <c r="B2" s="8" t="s">
        <v>11</v>
      </c>
      <c r="C2" s="12">
        <v>0.5</v>
      </c>
      <c r="D2" s="12"/>
      <c r="E2" s="12"/>
      <c r="F2" s="12"/>
      <c r="G2" s="12">
        <v>-3.09E-2</v>
      </c>
      <c r="H2" s="12">
        <v>-6.1499999999999999E-2</v>
      </c>
      <c r="I2" s="12">
        <v>-8.1600000000000006E-2</v>
      </c>
      <c r="J2" s="12">
        <v>1.03</v>
      </c>
      <c r="K2" s="12"/>
      <c r="L2" s="12"/>
      <c r="M2" s="12"/>
      <c r="N2" s="12"/>
    </row>
    <row r="3" spans="1:14" x14ac:dyDescent="0.2">
      <c r="A3" s="8">
        <v>2023</v>
      </c>
      <c r="B3" s="8" t="s">
        <v>11</v>
      </c>
      <c r="C3" s="12">
        <v>0.43</v>
      </c>
      <c r="D3" s="12">
        <v>0.24716859482014039</v>
      </c>
      <c r="E3" s="12">
        <v>0.24716859482014039</v>
      </c>
      <c r="F3" s="12">
        <v>-68.081952000000001</v>
      </c>
      <c r="G3" s="12">
        <v>-8.0000000000000002E-3</v>
      </c>
      <c r="H3" s="12">
        <v>-1.4E-2</v>
      </c>
      <c r="I3" s="12">
        <v>-2.06E-2</v>
      </c>
      <c r="J3" s="12">
        <v>0.74</v>
      </c>
      <c r="K3" s="12">
        <v>0.51779210552219701</v>
      </c>
      <c r="L3" s="12">
        <v>2.9148876674143938</v>
      </c>
      <c r="M3" s="12">
        <v>62.12</v>
      </c>
      <c r="N3" s="12">
        <v>2.474362249552936E-2</v>
      </c>
    </row>
    <row r="4" spans="1:14" x14ac:dyDescent="0.2">
      <c r="A4" s="8">
        <v>2022</v>
      </c>
      <c r="B4" s="8" t="s">
        <v>11</v>
      </c>
      <c r="C4" s="12">
        <v>0.39</v>
      </c>
      <c r="D4" s="12">
        <v>0.19440334345715546</v>
      </c>
      <c r="E4" s="12">
        <v>0.19440334345715546</v>
      </c>
      <c r="F4" s="12">
        <v>-32.110095999999999</v>
      </c>
      <c r="G4" s="12">
        <v>3.4599999999999999E-2</v>
      </c>
      <c r="H4" s="12">
        <v>5.6399999999999999E-2</v>
      </c>
      <c r="I4" s="12">
        <v>0.1095</v>
      </c>
      <c r="J4" s="12">
        <v>1.31</v>
      </c>
      <c r="K4" s="12">
        <v>0.77396848711443444</v>
      </c>
      <c r="L4" s="12">
        <v>2.8867500963572104</v>
      </c>
      <c r="M4" s="12">
        <v>25.88</v>
      </c>
      <c r="N4" s="12">
        <v>2.4491862004516782E-2</v>
      </c>
    </row>
    <row r="5" spans="1:14" x14ac:dyDescent="0.2">
      <c r="A5" s="8">
        <v>2021</v>
      </c>
      <c r="B5" s="8" t="s">
        <v>11</v>
      </c>
      <c r="C5" s="12">
        <v>0.44</v>
      </c>
      <c r="D5" s="12">
        <v>0.1635018913374861</v>
      </c>
      <c r="E5" s="12">
        <v>0.1635018913374861</v>
      </c>
      <c r="F5" s="12">
        <v>-8.7354660000000024</v>
      </c>
      <c r="G5" s="12">
        <v>8.3999999999999995E-3</v>
      </c>
      <c r="H5" s="12">
        <v>1.4999999999999999E-2</v>
      </c>
      <c r="I5" s="12">
        <v>3.0200000000000001E-2</v>
      </c>
      <c r="J5" s="12">
        <v>1.56</v>
      </c>
      <c r="K5" s="12">
        <v>0.8215354511970534</v>
      </c>
      <c r="L5" s="12">
        <v>2.7253970314400093</v>
      </c>
      <c r="M5" s="12">
        <v>18.740000000000002</v>
      </c>
      <c r="N5" s="12">
        <v>3.1108267309031372E-2</v>
      </c>
    </row>
    <row r="6" spans="1:14" x14ac:dyDescent="0.2">
      <c r="A6" s="8">
        <v>2020</v>
      </c>
      <c r="B6" s="8" t="s">
        <v>11</v>
      </c>
      <c r="C6" s="12">
        <v>0.41</v>
      </c>
      <c r="D6" s="12">
        <v>0.14713125665601703</v>
      </c>
      <c r="E6" s="12">
        <v>0.14713125665601703</v>
      </c>
      <c r="F6" s="12">
        <v>-5.7881080000000003</v>
      </c>
      <c r="G6" s="12">
        <v>-2.3E-3</v>
      </c>
      <c r="H6" s="12">
        <v>-3.8999999999999998E-3</v>
      </c>
      <c r="I6" s="12">
        <v>-6.7000000000000002E-3</v>
      </c>
      <c r="J6" s="12">
        <v>1.64</v>
      </c>
      <c r="K6" s="12">
        <v>0.87412350147025553</v>
      </c>
      <c r="L6" s="12">
        <v>2.4778155705860168</v>
      </c>
      <c r="M6" s="12">
        <v>11.350000000000001</v>
      </c>
      <c r="N6" s="12">
        <v>2.2530617678381253E-2</v>
      </c>
    </row>
    <row r="7" spans="1:14" x14ac:dyDescent="0.2">
      <c r="A7" s="8">
        <v>2019</v>
      </c>
      <c r="B7" s="8" t="s">
        <v>11</v>
      </c>
      <c r="C7" s="12">
        <v>0.33</v>
      </c>
      <c r="D7" s="12">
        <v>0.15157201393941713</v>
      </c>
      <c r="E7" s="12">
        <v>0.15157201393941713</v>
      </c>
      <c r="F7" s="12">
        <v>-7.9895999999999994</v>
      </c>
      <c r="G7" s="12">
        <v>9.5999999999999992E-3</v>
      </c>
      <c r="H7" s="12">
        <v>1.4200000000000001E-2</v>
      </c>
      <c r="I7" s="12">
        <v>2.7400000000000001E-2</v>
      </c>
      <c r="J7" s="12">
        <v>2.57</v>
      </c>
      <c r="K7" s="12">
        <v>1.3572511369378475</v>
      </c>
      <c r="L7" s="12">
        <v>2.4168567687437319</v>
      </c>
      <c r="M7" s="12">
        <v>5.29</v>
      </c>
      <c r="N7" s="12">
        <v>2.4317389805843831E-2</v>
      </c>
    </row>
    <row r="8" spans="1:14" x14ac:dyDescent="0.2">
      <c r="A8" s="8">
        <v>2018</v>
      </c>
      <c r="B8" s="8" t="s">
        <v>11</v>
      </c>
      <c r="C8" s="12">
        <v>0.32</v>
      </c>
      <c r="D8" s="12">
        <v>0.17542329772545598</v>
      </c>
      <c r="E8" s="12">
        <v>0.17542329772545598</v>
      </c>
      <c r="F8" s="12">
        <v>-170.07568700000002</v>
      </c>
      <c r="G8" s="12">
        <v>-1.1898</v>
      </c>
      <c r="H8" s="12">
        <v>-1.7577</v>
      </c>
      <c r="I8" s="12">
        <v>-1.8693</v>
      </c>
      <c r="J8" s="12">
        <v>2.2599999999999998</v>
      </c>
      <c r="K8" s="12">
        <v>1.2245236122618062</v>
      </c>
      <c r="L8" s="12">
        <v>2.1386499948516451</v>
      </c>
      <c r="M8" s="12">
        <v>5.7400000000000091</v>
      </c>
      <c r="N8" s="12">
        <v>2.8195625317927471E-2</v>
      </c>
    </row>
    <row r="9" spans="1:14" x14ac:dyDescent="0.2">
      <c r="A9" s="8">
        <v>2017</v>
      </c>
      <c r="B9" s="8" t="s">
        <v>11</v>
      </c>
      <c r="C9" s="12">
        <v>0.14000000000000001</v>
      </c>
      <c r="D9" s="12">
        <v>6.8164394520182664E-2</v>
      </c>
      <c r="E9" s="12">
        <v>6.8164394520182664E-2</v>
      </c>
      <c r="F9" s="12">
        <v>-108.834746</v>
      </c>
      <c r="G9" s="12">
        <v>-0.27529999999999999</v>
      </c>
      <c r="H9" s="12">
        <v>-0.32019999999999998</v>
      </c>
      <c r="I9" s="12">
        <v>-0.95130000000000003</v>
      </c>
      <c r="J9" s="12">
        <v>3.12</v>
      </c>
      <c r="K9" s="12">
        <v>1.6633251833740832</v>
      </c>
      <c r="L9" s="12">
        <v>2.4771357309611233</v>
      </c>
      <c r="M9" s="12">
        <v>13.739999999999995</v>
      </c>
      <c r="N9" s="12">
        <v>2.1165961134628847E-2</v>
      </c>
    </row>
    <row r="10" spans="1:14" x14ac:dyDescent="0.2">
      <c r="A10" s="8">
        <v>2016</v>
      </c>
      <c r="B10" s="8" t="s">
        <v>11</v>
      </c>
      <c r="C10" s="12">
        <v>0.11</v>
      </c>
      <c r="D10" s="12">
        <v>8.119170984455959E-2</v>
      </c>
      <c r="E10" s="12">
        <v>8.119170984455959E-2</v>
      </c>
      <c r="F10" s="12">
        <v>-141.52149</v>
      </c>
      <c r="G10" s="12">
        <v>-0.249</v>
      </c>
      <c r="H10" s="12">
        <v>-0.28149999999999997</v>
      </c>
      <c r="I10" s="12">
        <v>-0.81440000000000001</v>
      </c>
      <c r="J10" s="12">
        <v>2.68</v>
      </c>
      <c r="K10" s="12">
        <v>1.6228462029355457</v>
      </c>
      <c r="L10" s="12">
        <v>2.5865873046717551</v>
      </c>
      <c r="M10" s="12">
        <v>2.1400000000000006</v>
      </c>
      <c r="N10" s="12">
        <v>2.0751295336787563E-2</v>
      </c>
    </row>
    <row r="11" spans="1:14" x14ac:dyDescent="0.2">
      <c r="A11" s="8">
        <v>2024</v>
      </c>
      <c r="B11" s="8" t="s">
        <v>42</v>
      </c>
      <c r="C11" s="12">
        <v>0.55000000000000004</v>
      </c>
      <c r="D11" s="12">
        <v>0.16850245586634463</v>
      </c>
      <c r="E11" s="12">
        <v>0.38295878113898346</v>
      </c>
      <c r="F11" s="12">
        <v>7648.4883040000004</v>
      </c>
      <c r="G11" s="12">
        <v>0.40260000000000001</v>
      </c>
      <c r="H11" s="12">
        <v>0.89770000000000005</v>
      </c>
      <c r="I11" s="12"/>
      <c r="J11" s="12">
        <v>1.2</v>
      </c>
      <c r="K11" s="12">
        <v>1.0726659709265647</v>
      </c>
      <c r="L11" s="12">
        <v>4.3347670941489822</v>
      </c>
      <c r="M11" s="12">
        <v>1053.92</v>
      </c>
      <c r="N11" s="12">
        <v>0.40833768590170333</v>
      </c>
    </row>
    <row r="12" spans="1:14" x14ac:dyDescent="0.2">
      <c r="A12" s="8">
        <v>2023</v>
      </c>
      <c r="B12" s="8" t="s">
        <v>42</v>
      </c>
      <c r="C12" s="12">
        <v>0.46</v>
      </c>
      <c r="D12" s="12">
        <v>0.16297772295379648</v>
      </c>
      <c r="E12" s="12">
        <v>0.2997988246896176</v>
      </c>
      <c r="F12" s="12">
        <v>6667.1310080000003</v>
      </c>
      <c r="G12" s="12">
        <v>0.43490000000000001</v>
      </c>
      <c r="H12" s="12">
        <v>0.80959999999999999</v>
      </c>
      <c r="I12" s="12"/>
      <c r="J12" s="12">
        <v>1.08</v>
      </c>
      <c r="K12" s="12">
        <v>1.0568805625261646</v>
      </c>
      <c r="L12" s="12">
        <v>4.2618008226652844</v>
      </c>
      <c r="M12" s="12">
        <v>958.57000000000062</v>
      </c>
      <c r="N12" s="12">
        <v>0.51070454045451608</v>
      </c>
    </row>
    <row r="13" spans="1:14" x14ac:dyDescent="0.2">
      <c r="A13" s="8">
        <v>2022</v>
      </c>
      <c r="B13" s="8" t="s">
        <v>42</v>
      </c>
      <c r="C13" s="12">
        <v>0.53</v>
      </c>
      <c r="D13" s="12">
        <v>0.12557850888695044</v>
      </c>
      <c r="E13" s="12">
        <v>0.40348658355357747</v>
      </c>
      <c r="F13" s="12">
        <v>5103.4132099999997</v>
      </c>
      <c r="G13" s="12">
        <v>0.38419999999999999</v>
      </c>
      <c r="H13" s="12">
        <v>0.77100000000000002</v>
      </c>
      <c r="I13" s="12"/>
      <c r="J13" s="12">
        <v>1.1100000000000001</v>
      </c>
      <c r="K13" s="12">
        <v>1.0088202931191872</v>
      </c>
      <c r="L13" s="12">
        <v>4.2076297901756332</v>
      </c>
      <c r="M13" s="12">
        <v>1001.1000000000004</v>
      </c>
      <c r="N13" s="12">
        <v>0.46601917069181759</v>
      </c>
    </row>
    <row r="14" spans="1:14" x14ac:dyDescent="0.2">
      <c r="A14" s="8">
        <v>2021</v>
      </c>
      <c r="B14" s="8" t="s">
        <v>42</v>
      </c>
      <c r="C14" s="12">
        <v>0.45</v>
      </c>
      <c r="D14" s="12">
        <v>0.15273369374999063</v>
      </c>
      <c r="E14" s="12">
        <v>0.30037658984153787</v>
      </c>
      <c r="F14" s="12">
        <v>3611.3812359999997</v>
      </c>
      <c r="G14" s="12">
        <v>0.2954</v>
      </c>
      <c r="H14" s="12">
        <v>0.54020000000000001</v>
      </c>
      <c r="I14" s="12"/>
      <c r="J14" s="12">
        <v>1.28</v>
      </c>
      <c r="K14" s="12">
        <v>1.0230754822379622</v>
      </c>
      <c r="L14" s="12">
        <v>4.1243157288208971</v>
      </c>
      <c r="M14" s="12">
        <v>998.98</v>
      </c>
      <c r="N14" s="12">
        <v>0.53606144408008882</v>
      </c>
    </row>
    <row r="15" spans="1:14" x14ac:dyDescent="0.2">
      <c r="A15" s="8">
        <v>2020</v>
      </c>
      <c r="B15" s="8" t="s">
        <v>42</v>
      </c>
      <c r="C15" s="12">
        <v>0.41</v>
      </c>
      <c r="D15" s="12">
        <v>0.15204994357953452</v>
      </c>
      <c r="E15" s="12">
        <v>0.26176343770354948</v>
      </c>
      <c r="F15" s="12">
        <v>3674.4167640000001</v>
      </c>
      <c r="G15" s="12">
        <v>0.3533</v>
      </c>
      <c r="H15" s="12">
        <v>0.60270000000000001</v>
      </c>
      <c r="I15" s="12"/>
      <c r="J15" s="12">
        <v>1.27</v>
      </c>
      <c r="K15" s="12">
        <v>1.0664598985964453</v>
      </c>
      <c r="L15" s="12">
        <v>4.0374384508352703</v>
      </c>
      <c r="M15" s="12">
        <v>930.7199999999998</v>
      </c>
      <c r="N15" s="12">
        <v>0.55818188490225051</v>
      </c>
    </row>
    <row r="16" spans="1:14" x14ac:dyDescent="0.2">
      <c r="A16" s="8">
        <v>2019</v>
      </c>
      <c r="B16" s="8" t="s">
        <v>42</v>
      </c>
      <c r="C16" s="12">
        <v>0.65</v>
      </c>
      <c r="D16" s="12">
        <v>9.7950966566286254E-2</v>
      </c>
      <c r="E16" s="12">
        <v>0.55041051013127618</v>
      </c>
      <c r="F16" s="12">
        <v>6345.9544999999998</v>
      </c>
      <c r="G16" s="12">
        <v>0.4461</v>
      </c>
      <c r="H16" s="12">
        <v>1.2685999999999999</v>
      </c>
      <c r="I16" s="12"/>
      <c r="J16" s="12">
        <v>1.06</v>
      </c>
      <c r="K16" s="12">
        <v>1.0335282812209388</v>
      </c>
      <c r="L16" s="12">
        <v>4.1739594400690683</v>
      </c>
      <c r="M16" s="12">
        <v>1942.1600000000008</v>
      </c>
      <c r="N16" s="12">
        <v>0.32950480854584618</v>
      </c>
    </row>
    <row r="17" spans="1:14" x14ac:dyDescent="0.2">
      <c r="A17" s="8">
        <v>2018</v>
      </c>
      <c r="B17" s="8" t="s">
        <v>42</v>
      </c>
      <c r="C17" s="12">
        <v>0.5</v>
      </c>
      <c r="D17" s="12">
        <v>8.9768218407440856E-2</v>
      </c>
      <c r="E17" s="12">
        <v>0.41093937772475675</v>
      </c>
      <c r="F17" s="12">
        <v>3100.3559230000001</v>
      </c>
      <c r="G17" s="12">
        <v>0.25869999999999999</v>
      </c>
      <c r="H17" s="12">
        <v>0.51819999999999999</v>
      </c>
      <c r="I17" s="12"/>
      <c r="J17" s="12">
        <v>1.28</v>
      </c>
      <c r="K17" s="12">
        <v>1.2187601281216514</v>
      </c>
      <c r="L17" s="12">
        <v>4.136089906968107</v>
      </c>
      <c r="M17" s="12">
        <v>874.84000000000015</v>
      </c>
      <c r="N17" s="12">
        <v>0.38934746186436958</v>
      </c>
    </row>
    <row r="18" spans="1:14" x14ac:dyDescent="0.2">
      <c r="A18" s="8">
        <v>2017</v>
      </c>
      <c r="B18" s="8" t="s">
        <v>42</v>
      </c>
      <c r="C18" s="12">
        <v>0.33</v>
      </c>
      <c r="D18" s="12">
        <v>8.6858736157055319E-2</v>
      </c>
      <c r="E18" s="12">
        <v>0.24580990085050633</v>
      </c>
      <c r="F18" s="12">
        <v>3164.7420820000002</v>
      </c>
      <c r="G18" s="12">
        <v>0.30370000000000003</v>
      </c>
      <c r="H18" s="12">
        <v>0.45500000000000002</v>
      </c>
      <c r="I18" s="12"/>
      <c r="J18" s="12">
        <v>1.52</v>
      </c>
      <c r="K18" s="12">
        <v>1.2839443274706148</v>
      </c>
      <c r="L18" s="12">
        <v>4.1249738044718676</v>
      </c>
      <c r="M18" s="12">
        <v>643.30000000000018</v>
      </c>
      <c r="N18" s="12">
        <v>0.57245577419623361</v>
      </c>
    </row>
    <row r="19" spans="1:14" x14ac:dyDescent="0.2">
      <c r="A19" s="8">
        <v>2016</v>
      </c>
      <c r="B19" s="8" t="s">
        <v>42</v>
      </c>
      <c r="C19" s="12">
        <v>0.34</v>
      </c>
      <c r="D19" s="12">
        <v>9.1540553534396787E-2</v>
      </c>
      <c r="E19" s="12">
        <v>0.24757082228074415</v>
      </c>
      <c r="F19" s="12">
        <v>2851.7223859999999</v>
      </c>
      <c r="G19" s="12">
        <v>0.32</v>
      </c>
      <c r="H19" s="12">
        <v>0.48420000000000002</v>
      </c>
      <c r="I19" s="12"/>
      <c r="J19" s="12">
        <v>1.04</v>
      </c>
      <c r="K19" s="12">
        <v>1.0097525651033097</v>
      </c>
      <c r="L19" s="12">
        <v>4.0983775307421197</v>
      </c>
      <c r="M19" s="12">
        <v>556.57000000000016</v>
      </c>
      <c r="N19" s="12">
        <v>0.65727924122430392</v>
      </c>
    </row>
    <row r="20" spans="1:14" x14ac:dyDescent="0.2">
      <c r="A20" s="8">
        <v>2024</v>
      </c>
      <c r="B20" s="8" t="s">
        <v>43</v>
      </c>
      <c r="C20" s="12">
        <v>0.37</v>
      </c>
      <c r="D20" s="12"/>
      <c r="E20" s="12"/>
      <c r="F20" s="12">
        <v>0</v>
      </c>
      <c r="G20" s="12">
        <v>9.7999999999999997E-3</v>
      </c>
      <c r="H20" s="12">
        <v>1.5599999999999999E-2</v>
      </c>
      <c r="I20" s="12">
        <v>8.2467000000000006</v>
      </c>
      <c r="J20" s="12">
        <v>3.06</v>
      </c>
      <c r="K20" s="12"/>
      <c r="L20" s="12"/>
      <c r="M20" s="12">
        <v>0</v>
      </c>
      <c r="N20" s="12"/>
    </row>
    <row r="21" spans="1:14" x14ac:dyDescent="0.2">
      <c r="A21" s="8">
        <v>2023</v>
      </c>
      <c r="B21" s="8" t="s">
        <v>43</v>
      </c>
      <c r="C21" s="12">
        <v>0.37</v>
      </c>
      <c r="D21" s="12">
        <v>0.18499795922463919</v>
      </c>
      <c r="E21" s="12">
        <v>0.18530240276207235</v>
      </c>
      <c r="F21" s="12">
        <v>-196.33018399999997</v>
      </c>
      <c r="G21" s="12">
        <v>9.7999999999999997E-3</v>
      </c>
      <c r="H21" s="12">
        <v>1.5599999999999999E-2</v>
      </c>
      <c r="I21" s="12">
        <v>8.2467000000000006</v>
      </c>
      <c r="J21" s="12">
        <v>3.06</v>
      </c>
      <c r="K21" s="12">
        <v>1.6323982472783125</v>
      </c>
      <c r="L21" s="12">
        <v>3.4755346328068892</v>
      </c>
      <c r="M21" s="12">
        <v>-65.06</v>
      </c>
      <c r="N21" s="12">
        <v>0.39489672338460918</v>
      </c>
    </row>
    <row r="22" spans="1:14" x14ac:dyDescent="0.2">
      <c r="A22" s="8">
        <v>2022</v>
      </c>
      <c r="B22" s="8" t="s">
        <v>43</v>
      </c>
      <c r="C22" s="12">
        <v>0.46</v>
      </c>
      <c r="D22" s="12">
        <v>0.20335256289010784</v>
      </c>
      <c r="E22" s="12">
        <v>0.25872718460374505</v>
      </c>
      <c r="F22" s="12">
        <v>-98.626584999999992</v>
      </c>
      <c r="G22" s="12">
        <v>2.4799999999999999E-2</v>
      </c>
      <c r="H22" s="12">
        <v>6.5100000000000005E-2</v>
      </c>
      <c r="I22" s="12">
        <v>22.0762</v>
      </c>
      <c r="J22" s="12">
        <v>2.33</v>
      </c>
      <c r="K22" s="12">
        <v>1.3975747187454028</v>
      </c>
      <c r="L22" s="12">
        <v>3.5293892843889987</v>
      </c>
      <c r="M22" s="12">
        <v>-43.22</v>
      </c>
      <c r="N22" s="12">
        <v>0.3513305040665784</v>
      </c>
    </row>
    <row r="23" spans="1:14" x14ac:dyDescent="0.2">
      <c r="A23" s="8">
        <v>2021</v>
      </c>
      <c r="B23" s="8" t="s">
        <v>43</v>
      </c>
      <c r="C23" s="12">
        <v>0.42</v>
      </c>
      <c r="D23" s="12">
        <v>0.21552152842558253</v>
      </c>
      <c r="E23" s="12">
        <v>0.20920617688834861</v>
      </c>
      <c r="F23" s="12">
        <v>-54.580022000000007</v>
      </c>
      <c r="G23" s="12">
        <v>7.0000000000000001E-3</v>
      </c>
      <c r="H23" s="12">
        <v>1.72E-2</v>
      </c>
      <c r="I23" s="12">
        <v>4.9414999999999996</v>
      </c>
      <c r="J23" s="12">
        <v>2.8</v>
      </c>
      <c r="K23" s="12">
        <v>1.4810021963221169</v>
      </c>
      <c r="L23" s="12">
        <v>3.4880752705015174</v>
      </c>
      <c r="M23" s="12">
        <v>-46.129999999999995</v>
      </c>
      <c r="N23" s="12">
        <v>0.3706198015360963</v>
      </c>
    </row>
    <row r="24" spans="1:14" x14ac:dyDescent="0.2">
      <c r="A24" s="8">
        <v>2020</v>
      </c>
      <c r="B24" s="8" t="s">
        <v>43</v>
      </c>
      <c r="C24" s="12">
        <v>0.4</v>
      </c>
      <c r="D24" s="12">
        <v>0.2260013897442146</v>
      </c>
      <c r="E24" s="12">
        <v>0.17843393610469846</v>
      </c>
      <c r="F24" s="12">
        <v>13.89678</v>
      </c>
      <c r="G24" s="12">
        <v>1.35E-2</v>
      </c>
      <c r="H24" s="12">
        <v>3.3300000000000003E-2</v>
      </c>
      <c r="I24" s="12">
        <v>1.6027</v>
      </c>
      <c r="J24" s="12">
        <v>3.39</v>
      </c>
      <c r="K24" s="12">
        <v>1.5780323757409942</v>
      </c>
      <c r="L24" s="12">
        <v>3.4823775761781923</v>
      </c>
      <c r="M24" s="12">
        <v>-16.010000000000005</v>
      </c>
      <c r="N24" s="12">
        <v>0.36131702963580142</v>
      </c>
    </row>
    <row r="25" spans="1:14" x14ac:dyDescent="0.2">
      <c r="A25" s="8">
        <v>2019</v>
      </c>
      <c r="B25" s="8" t="s">
        <v>43</v>
      </c>
      <c r="C25" s="12">
        <v>0.47</v>
      </c>
      <c r="D25" s="12">
        <v>0.22617488658291712</v>
      </c>
      <c r="E25" s="12">
        <v>0.24396639181650967</v>
      </c>
      <c r="F25" s="12">
        <v>-28.581364000000008</v>
      </c>
      <c r="G25" s="12">
        <v>1.5100000000000001E-2</v>
      </c>
      <c r="H25" s="12">
        <v>4.2099999999999999E-2</v>
      </c>
      <c r="I25" s="12">
        <v>1.7443</v>
      </c>
      <c r="J25" s="12">
        <v>2.52</v>
      </c>
      <c r="K25" s="12">
        <v>1.4672284404374667</v>
      </c>
      <c r="L25" s="12">
        <v>3.5213747881661344</v>
      </c>
      <c r="M25" s="12">
        <v>-61.669999999999995</v>
      </c>
      <c r="N25" s="12">
        <v>0.30952703495985617</v>
      </c>
    </row>
    <row r="26" spans="1:14" x14ac:dyDescent="0.2">
      <c r="A26" s="8">
        <v>2018</v>
      </c>
      <c r="B26" s="8" t="s">
        <v>43</v>
      </c>
      <c r="C26" s="12">
        <v>0.47</v>
      </c>
      <c r="D26" s="12">
        <v>4.7576278905024541E-2</v>
      </c>
      <c r="E26" s="12">
        <v>0.41881293325912056</v>
      </c>
      <c r="F26" s="12">
        <v>-24.794675999999981</v>
      </c>
      <c r="G26" s="12">
        <v>1.6799999999999999E-2</v>
      </c>
      <c r="H26" s="12">
        <v>4.6300000000000001E-2</v>
      </c>
      <c r="I26" s="12">
        <v>2.0394999999999999</v>
      </c>
      <c r="J26" s="12">
        <v>1.46</v>
      </c>
      <c r="K26" s="12">
        <v>1.4744365184843635</v>
      </c>
      <c r="L26" s="12">
        <v>3.4999728532998735</v>
      </c>
      <c r="M26" s="12"/>
      <c r="N26" s="12">
        <v>0.31138680868289226</v>
      </c>
    </row>
    <row r="27" spans="1:14" x14ac:dyDescent="0.2">
      <c r="A27" s="8">
        <v>2017</v>
      </c>
      <c r="B27" s="8" t="s">
        <v>43</v>
      </c>
      <c r="C27" s="12">
        <v>0.49</v>
      </c>
      <c r="D27" s="12">
        <v>7.9813955265218811E-2</v>
      </c>
      <c r="E27" s="12">
        <v>0.41170197187044361</v>
      </c>
      <c r="F27" s="12">
        <v>-74.165656000000013</v>
      </c>
      <c r="G27" s="12">
        <v>1.6299999999999999E-2</v>
      </c>
      <c r="H27" s="12">
        <v>4.6899999999999997E-2</v>
      </c>
      <c r="I27" s="12">
        <v>2.0236999999999998</v>
      </c>
      <c r="J27" s="12">
        <v>1.45</v>
      </c>
      <c r="K27" s="12">
        <v>1.4184748111973262</v>
      </c>
      <c r="L27" s="12">
        <v>3.4970928236213363</v>
      </c>
      <c r="M27" s="12"/>
      <c r="N27" s="12">
        <v>0.30155228290005665</v>
      </c>
    </row>
    <row r="28" spans="1:14" x14ac:dyDescent="0.2">
      <c r="A28" s="8">
        <v>2016</v>
      </c>
      <c r="B28" s="8" t="s">
        <v>43</v>
      </c>
      <c r="C28" s="12">
        <v>0.53</v>
      </c>
      <c r="D28" s="12">
        <v>0.13018817378130457</v>
      </c>
      <c r="E28" s="12">
        <v>0.39498326420387186</v>
      </c>
      <c r="F28" s="12">
        <v>-120.91120399999997</v>
      </c>
      <c r="G28" s="12">
        <v>1.8800000000000001E-2</v>
      </c>
      <c r="H28" s="12">
        <v>5.8599999999999999E-2</v>
      </c>
      <c r="I28" s="12">
        <v>2.0021</v>
      </c>
      <c r="J28" s="12">
        <v>1.45</v>
      </c>
      <c r="K28" s="12">
        <v>1.3634748550287012</v>
      </c>
      <c r="L28" s="12">
        <v>3.5115531716847972</v>
      </c>
      <c r="M28" s="12"/>
      <c r="N28" s="12">
        <v>0.28359091370980405</v>
      </c>
    </row>
    <row r="29" spans="1:14" x14ac:dyDescent="0.2">
      <c r="A29" s="8">
        <v>2024</v>
      </c>
      <c r="B29" s="8" t="s">
        <v>44</v>
      </c>
      <c r="C29" s="12">
        <v>0.49</v>
      </c>
      <c r="D29" s="12"/>
      <c r="E29" s="12"/>
      <c r="F29" s="12">
        <v>0</v>
      </c>
      <c r="G29" s="12">
        <v>4.5699999999999998E-2</v>
      </c>
      <c r="H29" s="12">
        <v>8.9399999999999993E-2</v>
      </c>
      <c r="I29" s="12">
        <v>25.217300000000002</v>
      </c>
      <c r="J29" s="12">
        <v>4.45</v>
      </c>
      <c r="K29" s="12"/>
      <c r="L29" s="12"/>
      <c r="M29" s="12">
        <v>0</v>
      </c>
      <c r="N29" s="12"/>
    </row>
    <row r="30" spans="1:14" x14ac:dyDescent="0.2">
      <c r="A30" s="8">
        <v>2023</v>
      </c>
      <c r="B30" s="8" t="s">
        <v>44</v>
      </c>
      <c r="C30" s="12">
        <v>0.49</v>
      </c>
      <c r="D30" s="12"/>
      <c r="E30" s="12"/>
      <c r="F30" s="12">
        <v>0</v>
      </c>
      <c r="G30" s="12">
        <v>4.5699999999999998E-2</v>
      </c>
      <c r="H30" s="12">
        <v>8.9399999999999993E-2</v>
      </c>
      <c r="I30" s="12">
        <v>25.217300000000002</v>
      </c>
      <c r="J30" s="12">
        <v>4.45</v>
      </c>
      <c r="K30" s="12"/>
      <c r="L30" s="12"/>
      <c r="M30" s="12">
        <v>0</v>
      </c>
      <c r="N30" s="12"/>
    </row>
    <row r="31" spans="1:14" x14ac:dyDescent="0.2">
      <c r="A31" s="8">
        <v>2022</v>
      </c>
      <c r="B31" s="8" t="s">
        <v>44</v>
      </c>
      <c r="C31" s="12">
        <v>0.51</v>
      </c>
      <c r="D31" s="12">
        <v>0.45675253907748981</v>
      </c>
      <c r="E31" s="12">
        <v>5.7535368006344491E-2</v>
      </c>
      <c r="F31" s="12">
        <v>-5.2948929999999983</v>
      </c>
      <c r="G31" s="12">
        <v>4.6600000000000003E-2</v>
      </c>
      <c r="H31" s="12">
        <v>9.6000000000000002E-2</v>
      </c>
      <c r="I31" s="12">
        <v>4.0183</v>
      </c>
      <c r="J31" s="12">
        <v>3.28</v>
      </c>
      <c r="K31" s="12">
        <v>1.1485847883400486</v>
      </c>
      <c r="L31" s="12">
        <v>2.592054560172921</v>
      </c>
      <c r="M31" s="12">
        <v>-41.32</v>
      </c>
      <c r="N31" s="12">
        <v>0.39566118345314538</v>
      </c>
    </row>
    <row r="32" spans="1:14" x14ac:dyDescent="0.2">
      <c r="A32" s="8">
        <v>2021</v>
      </c>
      <c r="B32" s="8" t="s">
        <v>44</v>
      </c>
      <c r="C32" s="12">
        <v>0.54</v>
      </c>
      <c r="D32" s="12">
        <v>0.45845997973657543</v>
      </c>
      <c r="E32" s="12">
        <v>7.8547432410814272E-2</v>
      </c>
      <c r="F32" s="12">
        <v>1.6346699999999998</v>
      </c>
      <c r="G32" s="12">
        <v>2.4799999999999999E-2</v>
      </c>
      <c r="H32" s="12">
        <v>5.3600000000000002E-2</v>
      </c>
      <c r="I32" s="12">
        <v>3.2206999999999999</v>
      </c>
      <c r="J32" s="12">
        <v>3.17</v>
      </c>
      <c r="K32" s="12">
        <v>1.2176158085497244</v>
      </c>
      <c r="L32" s="12">
        <v>2.5741007492864467</v>
      </c>
      <c r="M32" s="12">
        <v>-18.73</v>
      </c>
      <c r="N32" s="12">
        <v>0.34383831920226093</v>
      </c>
    </row>
    <row r="33" spans="1:14" x14ac:dyDescent="0.2">
      <c r="A33" s="8">
        <v>2020</v>
      </c>
      <c r="B33" s="8" t="s">
        <v>44</v>
      </c>
      <c r="C33" s="12">
        <v>0.51</v>
      </c>
      <c r="D33" s="12">
        <v>0.42308075028608383</v>
      </c>
      <c r="E33" s="12">
        <v>8.2093636499328326E-2</v>
      </c>
      <c r="F33" s="12">
        <v>45.549807999999999</v>
      </c>
      <c r="G33" s="12">
        <v>0.127</v>
      </c>
      <c r="H33" s="12">
        <v>0.25659999999999999</v>
      </c>
      <c r="I33" s="12">
        <v>15.0738</v>
      </c>
      <c r="J33" s="12">
        <v>2.2400000000000002</v>
      </c>
      <c r="K33" s="12">
        <v>1.282464174915054</v>
      </c>
      <c r="L33" s="12">
        <v>2.6042044458563303</v>
      </c>
      <c r="M33" s="12">
        <v>-57.57</v>
      </c>
      <c r="N33" s="12">
        <v>0.35213194686302796</v>
      </c>
    </row>
    <row r="34" spans="1:14" x14ac:dyDescent="0.2">
      <c r="A34" s="8">
        <v>2019</v>
      </c>
      <c r="B34" s="8" t="s">
        <v>44</v>
      </c>
      <c r="C34" s="12">
        <v>0.61</v>
      </c>
      <c r="D34" s="12">
        <v>0.37977461697547799</v>
      </c>
      <c r="E34" s="12">
        <v>0.2351749461866374</v>
      </c>
      <c r="F34" s="12">
        <v>5.8953839999999982</v>
      </c>
      <c r="G34" s="12">
        <v>3.5400000000000001E-2</v>
      </c>
      <c r="H34" s="12">
        <v>9.1899999999999996E-2</v>
      </c>
      <c r="I34" s="12">
        <v>1.5310999999999999</v>
      </c>
      <c r="J34" s="12">
        <v>1.64</v>
      </c>
      <c r="K34" s="12">
        <v>1.1722374742621828</v>
      </c>
      <c r="L34" s="12">
        <v>2.6756500500953528</v>
      </c>
      <c r="M34" s="12">
        <v>-36.28</v>
      </c>
      <c r="N34" s="12">
        <v>0.27915418055965896</v>
      </c>
    </row>
    <row r="35" spans="1:14" x14ac:dyDescent="0.2">
      <c r="A35" s="8">
        <v>2018</v>
      </c>
      <c r="B35" s="8" t="s">
        <v>44</v>
      </c>
      <c r="C35" s="12">
        <v>0.62</v>
      </c>
      <c r="D35" s="12">
        <v>0.34999895535173309</v>
      </c>
      <c r="E35" s="12">
        <v>0.27231891022292792</v>
      </c>
      <c r="F35" s="12">
        <v>2.4164889999999986</v>
      </c>
      <c r="G35" s="12">
        <v>2.93E-2</v>
      </c>
      <c r="H35" s="12">
        <v>7.7700000000000005E-2</v>
      </c>
      <c r="I35" s="12">
        <v>0.44869999999999999</v>
      </c>
      <c r="J35" s="12">
        <v>1.66</v>
      </c>
      <c r="K35" s="12">
        <v>1.211676626603102</v>
      </c>
      <c r="L35" s="12">
        <v>2.6799999162292196</v>
      </c>
      <c r="M35" s="12">
        <v>-16.41</v>
      </c>
      <c r="N35" s="12">
        <v>0.24568037941625054</v>
      </c>
    </row>
    <row r="36" spans="1:14" x14ac:dyDescent="0.2">
      <c r="A36" s="8">
        <v>2017</v>
      </c>
      <c r="B36" s="8" t="s">
        <v>44</v>
      </c>
      <c r="C36" s="12">
        <v>0.62</v>
      </c>
      <c r="D36" s="12">
        <v>0.35958053349623292</v>
      </c>
      <c r="E36" s="12">
        <v>0.26265526369374875</v>
      </c>
      <c r="F36" s="12">
        <v>1.7683180000000007</v>
      </c>
      <c r="G36" s="12">
        <v>4.1099999999999998E-2</v>
      </c>
      <c r="H36" s="12">
        <v>0.1089</v>
      </c>
      <c r="I36" s="12">
        <v>0.58379999999999999</v>
      </c>
      <c r="J36" s="12">
        <v>1.78</v>
      </c>
      <c r="K36" s="12">
        <v>1.2351593690686562</v>
      </c>
      <c r="L36" s="12">
        <v>2.691169934131604</v>
      </c>
      <c r="M36" s="12">
        <v>-5.9</v>
      </c>
      <c r="N36" s="12">
        <v>0.23113418855630219</v>
      </c>
    </row>
    <row r="37" spans="1:14" x14ac:dyDescent="0.2">
      <c r="A37" s="8">
        <v>2016</v>
      </c>
      <c r="B37" s="8" t="s">
        <v>44</v>
      </c>
      <c r="C37" s="12">
        <v>0.6</v>
      </c>
      <c r="D37" s="12">
        <v>0.35519677093844598</v>
      </c>
      <c r="E37" s="12">
        <v>0.25034929752386864</v>
      </c>
      <c r="F37" s="12">
        <v>26.700074000000004</v>
      </c>
      <c r="G37" s="12">
        <v>0.1086</v>
      </c>
      <c r="H37" s="12">
        <v>0.26819999999999999</v>
      </c>
      <c r="I37" s="12">
        <v>1.1993</v>
      </c>
      <c r="J37" s="12">
        <v>1.86</v>
      </c>
      <c r="K37" s="12">
        <v>1.2439673129306201</v>
      </c>
      <c r="L37" s="12">
        <v>2.7120769981200747</v>
      </c>
      <c r="M37" s="12">
        <v>-9.2700000000000031</v>
      </c>
      <c r="N37" s="12">
        <v>0.24670107894124035</v>
      </c>
    </row>
    <row r="38" spans="1:14" x14ac:dyDescent="0.2">
      <c r="A38" s="8">
        <v>2024</v>
      </c>
      <c r="B38" s="12" t="s">
        <v>45</v>
      </c>
      <c r="C38" s="12">
        <v>0.08</v>
      </c>
      <c r="D38" s="12">
        <v>2.3174524850934326E-4</v>
      </c>
      <c r="E38" s="12">
        <v>8.067872122258811E-2</v>
      </c>
      <c r="F38" s="12">
        <v>2362.8219840000002</v>
      </c>
      <c r="G38" s="12">
        <v>0.26850000000000002</v>
      </c>
      <c r="H38" s="12">
        <v>0.29210000000000003</v>
      </c>
      <c r="I38" s="12"/>
      <c r="J38" s="12">
        <v>1.74</v>
      </c>
      <c r="K38" s="12">
        <v>1.7356872802263172</v>
      </c>
      <c r="L38" s="12">
        <v>4.1468725224442275</v>
      </c>
      <c r="M38" s="12">
        <v>457.8400000000006</v>
      </c>
      <c r="N38" s="12">
        <v>0.85956451859024718</v>
      </c>
    </row>
    <row r="39" spans="1:14" x14ac:dyDescent="0.2">
      <c r="A39" s="8">
        <v>2023</v>
      </c>
      <c r="B39" s="12" t="s">
        <v>45</v>
      </c>
      <c r="C39" s="12">
        <v>0.1</v>
      </c>
      <c r="D39" s="12">
        <v>2.3349937733499379E-4</v>
      </c>
      <c r="E39" s="12">
        <v>0.10105238954836794</v>
      </c>
      <c r="F39" s="12">
        <v>1941.041248</v>
      </c>
      <c r="G39" s="12">
        <v>0.25580000000000003</v>
      </c>
      <c r="H39" s="12">
        <v>0.28460000000000002</v>
      </c>
      <c r="I39" s="12"/>
      <c r="J39" s="12">
        <v>1.03</v>
      </c>
      <c r="K39" s="12">
        <v>1.0325505484898903</v>
      </c>
      <c r="L39" s="12">
        <v>4.1462620258752292</v>
      </c>
      <c r="M39" s="12">
        <v>368.99000000000024</v>
      </c>
      <c r="N39" s="12">
        <v>0.89541727124201675</v>
      </c>
    </row>
    <row r="40" spans="1:14" x14ac:dyDescent="0.2">
      <c r="A40" s="8">
        <v>2022</v>
      </c>
      <c r="B40" s="12" t="s">
        <v>45</v>
      </c>
      <c r="C40" s="12">
        <v>7.0000000000000007E-2</v>
      </c>
      <c r="D40" s="12">
        <v>2.3827275312636911E-4</v>
      </c>
      <c r="E40" s="12">
        <v>6.9805376423978605E-2</v>
      </c>
      <c r="F40" s="12">
        <v>1603.6792710000002</v>
      </c>
      <c r="G40" s="12">
        <v>0.25700000000000001</v>
      </c>
      <c r="H40" s="12">
        <v>0.24410000000000001</v>
      </c>
      <c r="I40" s="12"/>
      <c r="J40" s="12">
        <v>2.04</v>
      </c>
      <c r="K40" s="12">
        <v>2.0325448692937962</v>
      </c>
      <c r="L40" s="12">
        <v>4.0685298203623583</v>
      </c>
      <c r="M40" s="12">
        <v>368.57999999999993</v>
      </c>
      <c r="N40" s="12">
        <v>0.85763331104330154</v>
      </c>
    </row>
    <row r="41" spans="1:14" x14ac:dyDescent="0.2">
      <c r="A41" s="8">
        <v>2021</v>
      </c>
      <c r="B41" s="12" t="s">
        <v>45</v>
      </c>
      <c r="C41" s="12">
        <v>0.01</v>
      </c>
      <c r="D41" s="12">
        <v>1.1543756939158768E-4</v>
      </c>
      <c r="E41" s="12">
        <v>8.9271720329494493E-3</v>
      </c>
      <c r="F41" s="12">
        <v>1429.452366</v>
      </c>
      <c r="G41" s="12">
        <v>0.17799999999999999</v>
      </c>
      <c r="H41" s="12">
        <v>0.17960000000000001</v>
      </c>
      <c r="I41" s="12"/>
      <c r="J41" s="12">
        <v>10.210000000000001</v>
      </c>
      <c r="K41" s="12">
        <v>10.082075765438505</v>
      </c>
      <c r="L41" s="12">
        <v>4.0275579375928219</v>
      </c>
      <c r="M41" s="12">
        <v>199.92999999999984</v>
      </c>
      <c r="N41" s="12">
        <v>0.90883153716855103</v>
      </c>
    </row>
    <row r="42" spans="1:14" x14ac:dyDescent="0.2">
      <c r="A42" s="8">
        <v>2020</v>
      </c>
      <c r="B42" s="12" t="s">
        <v>45</v>
      </c>
      <c r="C42" s="12">
        <v>0.04</v>
      </c>
      <c r="D42" s="12">
        <v>8.9877565607979432E-5</v>
      </c>
      <c r="E42" s="12">
        <v>3.9235258228819826E-2</v>
      </c>
      <c r="F42" s="12">
        <v>1518.6526840000001</v>
      </c>
      <c r="G42" s="12">
        <v>0.18709999999999999</v>
      </c>
      <c r="H42" s="12">
        <v>0.1948</v>
      </c>
      <c r="I42" s="12"/>
      <c r="J42" s="12">
        <v>2.46</v>
      </c>
      <c r="K42" s="12">
        <v>2.4516630367562042</v>
      </c>
      <c r="L42" s="12">
        <v>3.9757676249549543</v>
      </c>
      <c r="M42" s="12">
        <v>256.06999999999994</v>
      </c>
      <c r="N42" s="12">
        <v>0.90358780668075811</v>
      </c>
    </row>
    <row r="43" spans="1:14" x14ac:dyDescent="0.2">
      <c r="A43" s="8">
        <v>2019</v>
      </c>
      <c r="B43" s="12" t="s">
        <v>45</v>
      </c>
      <c r="C43" s="12">
        <v>0.05</v>
      </c>
      <c r="D43" s="12">
        <v>1.4399858216780634E-4</v>
      </c>
      <c r="E43" s="12">
        <v>5.079642292752809E-2</v>
      </c>
      <c r="F43" s="12">
        <v>1229.6689160000001</v>
      </c>
      <c r="G43" s="12">
        <v>0.28360000000000002</v>
      </c>
      <c r="H43" s="12">
        <v>0.31230000000000002</v>
      </c>
      <c r="I43" s="12"/>
      <c r="J43" s="12">
        <v>3.23</v>
      </c>
      <c r="K43" s="12">
        <v>3.2188453593302651</v>
      </c>
      <c r="L43" s="12">
        <v>3.7337363867044626</v>
      </c>
      <c r="M43" s="12">
        <v>173.01</v>
      </c>
      <c r="N43" s="12">
        <v>0.83602992216692018</v>
      </c>
    </row>
    <row r="44" spans="1:14" x14ac:dyDescent="0.2">
      <c r="A44" s="8">
        <v>2018</v>
      </c>
      <c r="B44" s="12" t="s">
        <v>45</v>
      </c>
      <c r="C44" s="12">
        <v>0.02</v>
      </c>
      <c r="D44" s="12">
        <v>1.6258249457167E-4</v>
      </c>
      <c r="E44" s="12">
        <v>1.4993956637537303E-2</v>
      </c>
      <c r="F44" s="12">
        <v>1181.5920899999999</v>
      </c>
      <c r="G44" s="12">
        <v>0.31609999999999999</v>
      </c>
      <c r="H44" s="12">
        <v>0.32700000000000001</v>
      </c>
      <c r="I44" s="12"/>
      <c r="J44" s="12">
        <v>8.51</v>
      </c>
      <c r="K44" s="12">
        <v>8.418447424135497</v>
      </c>
      <c r="L44" s="12">
        <v>3.6697398094495415</v>
      </c>
      <c r="M44" s="12">
        <v>194.90000000000009</v>
      </c>
      <c r="N44" s="12">
        <v>0.87240483041148342</v>
      </c>
    </row>
    <row r="45" spans="1:14" x14ac:dyDescent="0.2">
      <c r="A45" s="8">
        <v>2017</v>
      </c>
      <c r="B45" s="12" t="s">
        <v>45</v>
      </c>
      <c r="C45" s="12">
        <v>7.0000000000000007E-2</v>
      </c>
      <c r="D45" s="12">
        <v>1.2028922876783733E-4</v>
      </c>
      <c r="E45" s="12">
        <v>6.9057155204291204E-2</v>
      </c>
      <c r="F45" s="12">
        <v>883.49417799999992</v>
      </c>
      <c r="G45" s="12">
        <v>0.2893</v>
      </c>
      <c r="H45" s="12">
        <v>0.31619999999999998</v>
      </c>
      <c r="I45" s="12"/>
      <c r="J45" s="12">
        <v>2.23</v>
      </c>
      <c r="K45" s="12">
        <v>2.2256963451940108</v>
      </c>
      <c r="L45" s="12">
        <v>3.6521670194002036</v>
      </c>
      <c r="M45" s="12">
        <v>151.5</v>
      </c>
      <c r="N45" s="12">
        <v>0.84603201475547862</v>
      </c>
    </row>
    <row r="46" spans="1:14" x14ac:dyDescent="0.2">
      <c r="A46" s="8">
        <v>2016</v>
      </c>
      <c r="B46" s="12" t="s">
        <v>45</v>
      </c>
      <c r="C46" s="12">
        <v>0.04</v>
      </c>
      <c r="D46" s="12">
        <v>8.1366758119512514E-5</v>
      </c>
      <c r="E46" s="12">
        <v>4.1268202633740259E-2</v>
      </c>
      <c r="F46" s="12">
        <v>561.0093619999999</v>
      </c>
      <c r="G46" s="12">
        <v>0.27710000000000001</v>
      </c>
      <c r="H46" s="12">
        <v>0.29210000000000003</v>
      </c>
      <c r="I46" s="12"/>
      <c r="J46" s="12">
        <v>3.02</v>
      </c>
      <c r="K46" s="12">
        <v>3.0102078465133437</v>
      </c>
      <c r="L46" s="12">
        <v>3.5947029654932035</v>
      </c>
      <c r="M46" s="12">
        <v>119.85000000000014</v>
      </c>
      <c r="N46" s="12">
        <v>0.87552665905548455</v>
      </c>
    </row>
    <row r="47" spans="1:14" x14ac:dyDescent="0.2">
      <c r="A47" s="8">
        <v>2024</v>
      </c>
      <c r="B47" s="12" t="s">
        <v>46</v>
      </c>
      <c r="C47" s="12">
        <v>0.7</v>
      </c>
      <c r="D47" s="12">
        <v>0.40991568608495116</v>
      </c>
      <c r="E47" s="12">
        <v>0.29057078945720372</v>
      </c>
      <c r="F47" s="12">
        <v>269.784672</v>
      </c>
      <c r="G47" s="12">
        <v>4.9000000000000002E-2</v>
      </c>
      <c r="H47" s="12">
        <v>0.1636</v>
      </c>
      <c r="I47" s="12">
        <v>0.13300000000000001</v>
      </c>
      <c r="J47" s="12">
        <v>1.05</v>
      </c>
      <c r="K47" s="12">
        <v>1.4071232838663255</v>
      </c>
      <c r="L47" s="12">
        <v>4.2160832596678679</v>
      </c>
      <c r="M47" s="12">
        <v>80.5</v>
      </c>
      <c r="N47" s="12">
        <v>6.3884495955765447E-3</v>
      </c>
    </row>
    <row r="48" spans="1:14" x14ac:dyDescent="0.2">
      <c r="A48" s="8">
        <v>2023</v>
      </c>
      <c r="B48" s="12" t="s">
        <v>46</v>
      </c>
      <c r="C48" s="12">
        <v>0.73</v>
      </c>
      <c r="D48" s="12">
        <v>0.4391806245855242</v>
      </c>
      <c r="E48" s="12">
        <v>0.28590837268498936</v>
      </c>
      <c r="F48" s="12">
        <v>-679.01495999999997</v>
      </c>
      <c r="G48" s="12">
        <v>-8.0000000000000002E-3</v>
      </c>
      <c r="H48" s="12">
        <v>-2.9100000000000001E-2</v>
      </c>
      <c r="I48" s="12">
        <v>-2.1399999999999999E-2</v>
      </c>
      <c r="J48" s="12">
        <v>0.75</v>
      </c>
      <c r="K48" s="12">
        <v>1.3577429593268879</v>
      </c>
      <c r="L48" s="12">
        <v>4.1899513138216475</v>
      </c>
      <c r="M48" s="12">
        <v>-273.17999999999995</v>
      </c>
      <c r="N48" s="12">
        <v>7.8333095490697342E-3</v>
      </c>
    </row>
    <row r="49" spans="1:14" x14ac:dyDescent="0.2">
      <c r="A49" s="8">
        <v>2022</v>
      </c>
      <c r="B49" s="12" t="s">
        <v>46</v>
      </c>
      <c r="C49" s="12">
        <v>0.53</v>
      </c>
      <c r="D49" s="12">
        <v>6.0839793259162417E-2</v>
      </c>
      <c r="E49" s="12">
        <v>0.76187811064360178</v>
      </c>
      <c r="F49" s="12">
        <v>-1135.0478889999999</v>
      </c>
      <c r="G49" s="12">
        <v>-1.83E-2</v>
      </c>
      <c r="H49" s="12">
        <v>-9.69E-2</v>
      </c>
      <c r="I49" s="12">
        <v>-5.9799999999999999E-2</v>
      </c>
      <c r="J49" s="12">
        <v>0.94</v>
      </c>
      <c r="K49" s="12">
        <v>1.2037304175560264</v>
      </c>
      <c r="L49" s="12">
        <v>4.3613039088258185</v>
      </c>
      <c r="M49" s="12">
        <v>-1526.04</v>
      </c>
      <c r="N49" s="12">
        <v>5.0640712068644369E-3</v>
      </c>
    </row>
    <row r="50" spans="1:14" x14ac:dyDescent="0.2">
      <c r="A50" s="8">
        <v>2021</v>
      </c>
      <c r="B50" s="12" t="s">
        <v>46</v>
      </c>
      <c r="C50" s="12">
        <v>0.84</v>
      </c>
      <c r="D50" s="12">
        <v>7.445917076673117E-2</v>
      </c>
      <c r="E50" s="12">
        <v>0.76525638560423104</v>
      </c>
      <c r="F50" s="12">
        <v>-843.3387120000001</v>
      </c>
      <c r="G50" s="12">
        <v>-3.0099999999999998E-2</v>
      </c>
      <c r="H50" s="12">
        <v>-0.18779999999999999</v>
      </c>
      <c r="I50" s="12">
        <v>-8.5500000000000007E-2</v>
      </c>
      <c r="J50" s="12">
        <v>0.81</v>
      </c>
      <c r="K50" s="12">
        <v>1.1772161671589616</v>
      </c>
      <c r="L50" s="12">
        <v>4.3555365699145758</v>
      </c>
      <c r="M50" s="12">
        <v>-1322.85</v>
      </c>
      <c r="N50" s="12">
        <v>7.7192645110529751E-3</v>
      </c>
    </row>
    <row r="51" spans="1:14" x14ac:dyDescent="0.2">
      <c r="A51" s="8">
        <v>2020</v>
      </c>
      <c r="B51" s="12" t="s">
        <v>46</v>
      </c>
      <c r="C51" s="12">
        <v>0.81</v>
      </c>
      <c r="D51" s="12">
        <v>7.2106988437108291E-2</v>
      </c>
      <c r="E51" s="12">
        <v>0.74057126107347582</v>
      </c>
      <c r="F51" s="12">
        <v>-1638.729188</v>
      </c>
      <c r="G51" s="12">
        <v>-6.7000000000000004E-2</v>
      </c>
      <c r="H51" s="12">
        <v>-0.3574</v>
      </c>
      <c r="I51" s="12">
        <v>-0.1794</v>
      </c>
      <c r="J51" s="12">
        <v>0.92</v>
      </c>
      <c r="K51" s="12">
        <v>1.216954068897466</v>
      </c>
      <c r="L51" s="12">
        <v>4.3564266771223723</v>
      </c>
      <c r="M51" s="12">
        <v>-295.29999999999995</v>
      </c>
      <c r="N51" s="12">
        <v>8.1083721814571227E-3</v>
      </c>
    </row>
    <row r="52" spans="1:14" x14ac:dyDescent="0.2">
      <c r="A52" s="8">
        <v>2019</v>
      </c>
      <c r="B52" s="12" t="s">
        <v>46</v>
      </c>
      <c r="C52" s="12">
        <v>0.77</v>
      </c>
      <c r="D52" s="12">
        <v>6.9700735661738442E-2</v>
      </c>
      <c r="E52" s="12">
        <v>0.70487822298407254</v>
      </c>
      <c r="F52" s="12">
        <v>974.98905999999988</v>
      </c>
      <c r="G52" s="12">
        <v>6.9099999999999995E-2</v>
      </c>
      <c r="H52" s="12">
        <v>0.30669999999999997</v>
      </c>
      <c r="I52" s="12">
        <v>0.18310000000000001</v>
      </c>
      <c r="J52" s="12">
        <v>0.89</v>
      </c>
      <c r="K52" s="12">
        <v>1.2412980134404437</v>
      </c>
      <c r="L52" s="12">
        <v>4.2430690686128747</v>
      </c>
      <c r="M52" s="12">
        <v>-492.88999999999987</v>
      </c>
      <c r="N52" s="12">
        <v>3.5962574101849873E-2</v>
      </c>
    </row>
    <row r="53" spans="1:14" x14ac:dyDescent="0.2">
      <c r="A53" s="8">
        <v>2018</v>
      </c>
      <c r="B53" s="12" t="s">
        <v>46</v>
      </c>
      <c r="C53" s="12">
        <v>0.75</v>
      </c>
      <c r="D53" s="12">
        <v>6.7782362207293029E-2</v>
      </c>
      <c r="E53" s="12">
        <v>0.68123507333240074</v>
      </c>
      <c r="F53" s="12">
        <v>961.54984599999989</v>
      </c>
      <c r="G53" s="12">
        <v>7.6499999999999999E-2</v>
      </c>
      <c r="H53" s="12">
        <v>0.30459999999999998</v>
      </c>
      <c r="I53" s="12">
        <v>0.2114</v>
      </c>
      <c r="J53" s="12">
        <v>0.97</v>
      </c>
      <c r="K53" s="12">
        <v>1.2772767398736649</v>
      </c>
      <c r="L53" s="12">
        <v>4.2025000324997679</v>
      </c>
      <c r="M53" s="12">
        <v>-194.44000000000005</v>
      </c>
      <c r="N53" s="12">
        <v>4.0614337254390252E-2</v>
      </c>
    </row>
    <row r="54" spans="1:14" x14ac:dyDescent="0.2">
      <c r="A54" s="8">
        <v>2017</v>
      </c>
      <c r="B54" s="12" t="s">
        <v>46</v>
      </c>
      <c r="C54" s="12">
        <v>0.75</v>
      </c>
      <c r="D54" s="12">
        <v>7.1882793321718083E-2</v>
      </c>
      <c r="E54" s="12">
        <v>0.6784394846063051</v>
      </c>
      <c r="F54" s="12">
        <v>569.08070799999996</v>
      </c>
      <c r="G54" s="12">
        <v>6.4500000000000002E-2</v>
      </c>
      <c r="H54" s="12">
        <v>0.25829999999999997</v>
      </c>
      <c r="I54" s="12">
        <v>0.1953</v>
      </c>
      <c r="J54" s="12">
        <v>0.86</v>
      </c>
      <c r="K54" s="12">
        <v>1.2765900113640269</v>
      </c>
      <c r="L54" s="12">
        <v>4.1566463569996772</v>
      </c>
      <c r="M54" s="12">
        <v>-340.34999999999991</v>
      </c>
      <c r="N54" s="12">
        <v>3.8661499064714243E-2</v>
      </c>
    </row>
    <row r="55" spans="1:14" x14ac:dyDescent="0.2">
      <c r="A55" s="8">
        <v>2016</v>
      </c>
      <c r="B55" s="12" t="s">
        <v>46</v>
      </c>
      <c r="C55" s="12">
        <v>0.76</v>
      </c>
      <c r="D55" s="12">
        <v>6.9545618186124161E-2</v>
      </c>
      <c r="E55" s="12">
        <v>0.6825134380318113</v>
      </c>
      <c r="F55" s="12">
        <v>383.25355600000006</v>
      </c>
      <c r="G55" s="12">
        <v>6.2300000000000001E-2</v>
      </c>
      <c r="H55" s="12">
        <v>0.25540000000000002</v>
      </c>
      <c r="I55" s="12">
        <v>0.20469999999999999</v>
      </c>
      <c r="J55" s="12">
        <v>0.78</v>
      </c>
      <c r="K55" s="12">
        <v>1.2815438852371752</v>
      </c>
      <c r="L55" s="12">
        <v>4.1347675633342318</v>
      </c>
      <c r="M55" s="12">
        <v>-426.88</v>
      </c>
      <c r="N55" s="12">
        <v>3.1637573844101964E-2</v>
      </c>
    </row>
    <row r="56" spans="1:14" x14ac:dyDescent="0.2">
      <c r="A56" s="8">
        <v>2024</v>
      </c>
      <c r="B56" s="12" t="s">
        <v>47</v>
      </c>
      <c r="C56" s="12">
        <v>0.7</v>
      </c>
      <c r="D56" s="12">
        <v>0.22735252977538384</v>
      </c>
      <c r="E56" s="12">
        <v>0.47742109048469183</v>
      </c>
      <c r="F56" s="12">
        <v>1151.7604800000004</v>
      </c>
      <c r="G56" s="12">
        <v>5.5199999999999999E-2</v>
      </c>
      <c r="H56" s="12">
        <v>0.18820000000000001</v>
      </c>
      <c r="I56" s="12">
        <v>7.4999999999999997E-2</v>
      </c>
      <c r="J56" s="12">
        <v>1.1499999999999999</v>
      </c>
      <c r="K56" s="12">
        <v>1.2599061724680576</v>
      </c>
      <c r="L56" s="12">
        <v>4.6804600718802334</v>
      </c>
      <c r="M56" s="12">
        <v>788.48999999999978</v>
      </c>
      <c r="N56" s="12">
        <v>3.2367959587375143E-2</v>
      </c>
    </row>
    <row r="57" spans="1:14" x14ac:dyDescent="0.2">
      <c r="A57" s="8">
        <v>2023</v>
      </c>
      <c r="B57" s="12" t="s">
        <v>47</v>
      </c>
      <c r="C57" s="12">
        <v>0.72</v>
      </c>
      <c r="D57" s="12">
        <v>0.18947368421052632</v>
      </c>
      <c r="E57" s="12">
        <v>0.52802398755865787</v>
      </c>
      <c r="F57" s="12">
        <v>685.14688000000046</v>
      </c>
      <c r="G57" s="12">
        <v>5.1200000000000002E-2</v>
      </c>
      <c r="H57" s="12">
        <v>0.18129999999999999</v>
      </c>
      <c r="I57" s="12">
        <v>7.0000000000000007E-2</v>
      </c>
      <c r="J57" s="12">
        <v>1.1299999999999999</v>
      </c>
      <c r="K57" s="12">
        <v>1.2035438432779986</v>
      </c>
      <c r="L57" s="12">
        <v>4.6458111915656719</v>
      </c>
      <c r="M57" s="12">
        <v>2490.9299999999998</v>
      </c>
      <c r="N57" s="12">
        <v>5.0178347001329122E-2</v>
      </c>
    </row>
    <row r="58" spans="1:14" x14ac:dyDescent="0.2">
      <c r="A58" s="8">
        <v>2022</v>
      </c>
      <c r="B58" s="12" t="s">
        <v>47</v>
      </c>
      <c r="C58" s="12">
        <v>0.79</v>
      </c>
      <c r="D58" s="12">
        <v>0.19343359162399892</v>
      </c>
      <c r="E58" s="12">
        <v>0.5958146534069888</v>
      </c>
      <c r="F58" s="12">
        <v>-166.13733400000001</v>
      </c>
      <c r="G58" s="12">
        <v>2.2599999999999999E-2</v>
      </c>
      <c r="H58" s="12">
        <v>0.1077</v>
      </c>
      <c r="I58" s="12">
        <v>4.3200000000000002E-2</v>
      </c>
      <c r="J58" s="12">
        <v>1.0900000000000001</v>
      </c>
      <c r="K58" s="12">
        <v>1.1011963150695347</v>
      </c>
      <c r="L58" s="12">
        <v>4.7032132840898848</v>
      </c>
      <c r="M58" s="12">
        <v>315.18000000000006</v>
      </c>
      <c r="N58" s="12">
        <v>5.873372875756671E-2</v>
      </c>
    </row>
    <row r="59" spans="1:14" x14ac:dyDescent="0.2">
      <c r="A59" s="8">
        <v>2021</v>
      </c>
      <c r="B59" s="12" t="s">
        <v>47</v>
      </c>
      <c r="C59" s="12">
        <v>0.8</v>
      </c>
      <c r="D59" s="12">
        <v>0.17547834166561774</v>
      </c>
      <c r="E59" s="12">
        <v>0.59956607423051689</v>
      </c>
      <c r="F59" s="12">
        <v>1130.3389339999999</v>
      </c>
      <c r="G59" s="12">
        <v>3.7100000000000001E-2</v>
      </c>
      <c r="H59" s="12">
        <v>0.16489999999999999</v>
      </c>
      <c r="I59" s="12">
        <v>7.2800000000000004E-2</v>
      </c>
      <c r="J59" s="12">
        <v>1.0900000000000001</v>
      </c>
      <c r="K59" s="12">
        <v>1.1243471541951204</v>
      </c>
      <c r="L59" s="12">
        <v>4.6193984823059671</v>
      </c>
      <c r="M59" s="12">
        <v>-78.1400000000001</v>
      </c>
      <c r="N59" s="12">
        <v>7.1441371497533948E-2</v>
      </c>
    </row>
    <row r="60" spans="1:14" x14ac:dyDescent="0.2">
      <c r="A60" s="8">
        <v>2020</v>
      </c>
      <c r="B60" s="12" t="s">
        <v>47</v>
      </c>
      <c r="C60" s="12">
        <v>0.76</v>
      </c>
      <c r="D60" s="12">
        <v>0.18939374138991893</v>
      </c>
      <c r="E60" s="12">
        <v>0.56647145945298427</v>
      </c>
      <c r="F60" s="12">
        <v>1440.727212</v>
      </c>
      <c r="G60" s="12">
        <v>4.5999999999999999E-2</v>
      </c>
      <c r="H60" s="12">
        <v>0.1883</v>
      </c>
      <c r="I60" s="12">
        <v>9.0700000000000003E-2</v>
      </c>
      <c r="J60" s="12">
        <v>1.21</v>
      </c>
      <c r="K60" s="12">
        <v>1.1771085916980393</v>
      </c>
      <c r="L60" s="12">
        <v>4.5650232931332031</v>
      </c>
      <c r="M60" s="12">
        <v>223.81999999999994</v>
      </c>
      <c r="N60" s="12">
        <v>5.1563291242628685E-2</v>
      </c>
    </row>
    <row r="61" spans="1:14" x14ac:dyDescent="0.2">
      <c r="A61" s="8">
        <v>2019</v>
      </c>
      <c r="B61" s="12" t="s">
        <v>47</v>
      </c>
      <c r="C61" s="12">
        <v>0.75</v>
      </c>
      <c r="D61" s="12">
        <v>0.19689862524571022</v>
      </c>
      <c r="E61" s="12">
        <v>0.55028996096150262</v>
      </c>
      <c r="F61" s="12">
        <v>886.23111199999994</v>
      </c>
      <c r="G61" s="12">
        <v>4.2200000000000001E-2</v>
      </c>
      <c r="H61" s="12">
        <v>0.1668</v>
      </c>
      <c r="I61" s="12">
        <v>7.6300000000000007E-2</v>
      </c>
      <c r="J61" s="12">
        <v>1.27</v>
      </c>
      <c r="K61" s="12">
        <v>1.180727786458365</v>
      </c>
      <c r="L61" s="12">
        <v>4.5146978040334993</v>
      </c>
      <c r="M61" s="12">
        <v>-153.79999999999995</v>
      </c>
      <c r="N61" s="12">
        <v>5.551231531611401E-2</v>
      </c>
    </row>
    <row r="62" spans="1:14" x14ac:dyDescent="0.2">
      <c r="A62" s="8">
        <v>2018</v>
      </c>
      <c r="B62" s="12" t="s">
        <v>47</v>
      </c>
      <c r="C62" s="12">
        <v>0.75</v>
      </c>
      <c r="D62" s="12">
        <v>0.20020182612064541</v>
      </c>
      <c r="E62" s="12">
        <v>0.54968430311089711</v>
      </c>
      <c r="F62" s="12">
        <v>817.88880400000016</v>
      </c>
      <c r="G62" s="12">
        <v>4.2900000000000001E-2</v>
      </c>
      <c r="H62" s="12">
        <v>0.17150000000000001</v>
      </c>
      <c r="I62" s="12">
        <v>7.3499999999999996E-2</v>
      </c>
      <c r="J62" s="12">
        <v>1.31</v>
      </c>
      <c r="K62" s="12">
        <v>1.174987476676947</v>
      </c>
      <c r="L62" s="12">
        <v>4.485166992447966</v>
      </c>
      <c r="M62" s="12">
        <v>-69.230000000000018</v>
      </c>
      <c r="N62" s="12">
        <v>5.3413897992733217E-2</v>
      </c>
    </row>
    <row r="63" spans="1:14" x14ac:dyDescent="0.2">
      <c r="A63" s="8">
        <v>2017</v>
      </c>
      <c r="B63" s="12" t="s">
        <v>47</v>
      </c>
      <c r="C63" s="12">
        <v>0.73</v>
      </c>
      <c r="D63" s="12">
        <v>0.19472581564096786</v>
      </c>
      <c r="E63" s="12">
        <v>0.53900096383030927</v>
      </c>
      <c r="F63" s="12">
        <v>331.25965999999994</v>
      </c>
      <c r="G63" s="12">
        <v>3.7999999999999999E-2</v>
      </c>
      <c r="H63" s="12">
        <v>0.14269999999999999</v>
      </c>
      <c r="I63" s="12">
        <v>6.5199999999999994E-2</v>
      </c>
      <c r="J63" s="12">
        <v>1.4</v>
      </c>
      <c r="K63" s="12">
        <v>1.1937627780602322</v>
      </c>
      <c r="L63" s="12">
        <v>4.4620703563979385</v>
      </c>
      <c r="M63" s="12">
        <v>-696.3</v>
      </c>
      <c r="N63" s="12">
        <v>5.6761081546669846E-2</v>
      </c>
    </row>
    <row r="64" spans="1:14" x14ac:dyDescent="0.2">
      <c r="A64" s="8">
        <v>2016</v>
      </c>
      <c r="B64" s="12" t="s">
        <v>47</v>
      </c>
      <c r="C64" s="12">
        <v>0.72</v>
      </c>
      <c r="D64" s="12">
        <v>0.15973957189241034</v>
      </c>
      <c r="E64" s="12">
        <v>0</v>
      </c>
      <c r="F64" s="12">
        <v>-70.162159999999972</v>
      </c>
      <c r="G64" s="12">
        <v>3.61E-2</v>
      </c>
      <c r="H64" s="12">
        <v>0.1308</v>
      </c>
      <c r="I64" s="12">
        <v>5.67E-2</v>
      </c>
      <c r="J64" s="12"/>
      <c r="K64" s="12">
        <v>5.4287576503467498</v>
      </c>
      <c r="L64" s="12">
        <v>4.4040929037232681</v>
      </c>
      <c r="M64" s="12">
        <v>-791.84</v>
      </c>
      <c r="N64" s="12">
        <v>6.0897095877185954E-2</v>
      </c>
    </row>
    <row r="65" spans="1:14" x14ac:dyDescent="0.2">
      <c r="A65" s="8">
        <v>2024</v>
      </c>
      <c r="B65" s="12" t="s">
        <v>48</v>
      </c>
      <c r="C65" s="12">
        <v>0.72</v>
      </c>
      <c r="D65" s="12"/>
      <c r="E65" s="12"/>
      <c r="F65" s="12">
        <v>0</v>
      </c>
      <c r="G65" s="12">
        <v>6.0000000000000001E-3</v>
      </c>
      <c r="H65" s="12">
        <v>2.1700000000000001E-2</v>
      </c>
      <c r="I65" s="12">
        <v>8.3000000000000001E-3</v>
      </c>
      <c r="J65" s="12">
        <v>2.29</v>
      </c>
      <c r="K65" s="12"/>
      <c r="L65" s="12"/>
      <c r="M65" s="12">
        <v>0</v>
      </c>
      <c r="N65" s="12"/>
    </row>
    <row r="66" spans="1:14" x14ac:dyDescent="0.2">
      <c r="A66" s="8">
        <v>2023</v>
      </c>
      <c r="B66" s="12" t="s">
        <v>48</v>
      </c>
      <c r="C66" s="12">
        <v>0.72</v>
      </c>
      <c r="D66" s="12"/>
      <c r="E66" s="12"/>
      <c r="F66" s="12">
        <v>0</v>
      </c>
      <c r="G66" s="12">
        <v>6.0000000000000001E-3</v>
      </c>
      <c r="H66" s="12">
        <v>2.1700000000000001E-2</v>
      </c>
      <c r="I66" s="12">
        <v>8.3000000000000001E-3</v>
      </c>
      <c r="J66" s="12">
        <v>2.29</v>
      </c>
      <c r="K66" s="12"/>
      <c r="L66" s="12"/>
      <c r="M66" s="12">
        <v>0</v>
      </c>
      <c r="N66" s="12"/>
    </row>
    <row r="67" spans="1:14" x14ac:dyDescent="0.2">
      <c r="A67" s="8">
        <v>2022</v>
      </c>
      <c r="B67" s="12" t="s">
        <v>48</v>
      </c>
      <c r="C67" s="12">
        <v>0.72</v>
      </c>
      <c r="D67" s="12"/>
      <c r="E67" s="12"/>
      <c r="F67" s="12">
        <v>0</v>
      </c>
      <c r="G67" s="12">
        <v>6.0000000000000001E-3</v>
      </c>
      <c r="H67" s="12">
        <v>2.1700000000000001E-2</v>
      </c>
      <c r="I67" s="12">
        <v>8.3000000000000001E-3</v>
      </c>
      <c r="J67" s="12">
        <v>2.29</v>
      </c>
      <c r="K67" s="12"/>
      <c r="L67" s="12"/>
      <c r="M67" s="12">
        <v>0</v>
      </c>
      <c r="N67" s="12"/>
    </row>
    <row r="68" spans="1:14" x14ac:dyDescent="0.2">
      <c r="A68" s="8">
        <v>2021</v>
      </c>
      <c r="B68" s="12" t="s">
        <v>48</v>
      </c>
      <c r="C68" s="12">
        <v>0.72</v>
      </c>
      <c r="D68" s="12">
        <v>0.41772682357539409</v>
      </c>
      <c r="E68" s="12">
        <v>0.30226617140686629</v>
      </c>
      <c r="F68" s="12">
        <v>-27.026396000000034</v>
      </c>
      <c r="G68" s="12">
        <v>1.14E-2</v>
      </c>
      <c r="H68" s="12">
        <v>4.0899999999999999E-2</v>
      </c>
      <c r="I68" s="12">
        <v>1.6299999999999999E-2</v>
      </c>
      <c r="J68" s="12">
        <v>2.2400000000000002</v>
      </c>
      <c r="K68" s="12">
        <v>1.3353569228696041</v>
      </c>
      <c r="L68" s="12">
        <v>4.4633685342270217</v>
      </c>
      <c r="M68" s="12">
        <v>-466.07</v>
      </c>
      <c r="N68" s="12">
        <v>6.8274838912116614E-3</v>
      </c>
    </row>
    <row r="69" spans="1:14" x14ac:dyDescent="0.2">
      <c r="A69" s="8">
        <v>2020</v>
      </c>
      <c r="B69" s="12" t="s">
        <v>48</v>
      </c>
      <c r="C69" s="12">
        <v>0.71</v>
      </c>
      <c r="D69" s="12">
        <v>0.4073957125305715</v>
      </c>
      <c r="E69" s="12">
        <v>0.30182474365893147</v>
      </c>
      <c r="F69" s="12">
        <v>2123.795948</v>
      </c>
      <c r="G69" s="12">
        <v>8.4199999999999997E-2</v>
      </c>
      <c r="H69" s="12">
        <v>0.2898</v>
      </c>
      <c r="I69" s="12">
        <v>0.1222</v>
      </c>
      <c r="J69" s="12">
        <v>2.2599999999999998</v>
      </c>
      <c r="K69" s="12">
        <v>1.3576820041132589</v>
      </c>
      <c r="L69" s="12">
        <v>4.4451232555745213</v>
      </c>
      <c r="M69" s="12">
        <v>308.03999999999996</v>
      </c>
      <c r="N69" s="12">
        <v>7.7655842739203828E-3</v>
      </c>
    </row>
    <row r="70" spans="1:14" x14ac:dyDescent="0.2">
      <c r="A70" s="8">
        <v>2019</v>
      </c>
      <c r="B70" s="12" t="s">
        <v>48</v>
      </c>
      <c r="C70" s="12">
        <v>0.75</v>
      </c>
      <c r="D70" s="12">
        <v>0.38322284773048432</v>
      </c>
      <c r="E70" s="12">
        <v>0.36520785782289106</v>
      </c>
      <c r="F70" s="12">
        <v>755.62648400000012</v>
      </c>
      <c r="G70" s="12">
        <v>4.1599999999999998E-2</v>
      </c>
      <c r="H70" s="12">
        <v>0.16550000000000001</v>
      </c>
      <c r="I70" s="12">
        <v>5.4399999999999997E-2</v>
      </c>
      <c r="J70" s="12">
        <v>1.95</v>
      </c>
      <c r="K70" s="12">
        <v>1.308211947001493</v>
      </c>
      <c r="L70" s="12">
        <v>4.4535086844657785</v>
      </c>
      <c r="M70" s="12">
        <v>-121.21000000000004</v>
      </c>
      <c r="N70" s="12">
        <v>5.1776597935060164E-3</v>
      </c>
    </row>
    <row r="71" spans="1:14" x14ac:dyDescent="0.2">
      <c r="A71" s="8">
        <v>2018</v>
      </c>
      <c r="B71" s="12" t="s">
        <v>48</v>
      </c>
      <c r="C71" s="12">
        <v>0.76</v>
      </c>
      <c r="D71" s="12">
        <v>0.37096425932849542</v>
      </c>
      <c r="E71" s="12">
        <v>0.38442104018204332</v>
      </c>
      <c r="F71" s="12">
        <v>500.77310699999998</v>
      </c>
      <c r="G71" s="12">
        <v>3.5200000000000002E-2</v>
      </c>
      <c r="H71" s="12">
        <v>0.14399999999999999</v>
      </c>
      <c r="I71" s="12">
        <v>4.5600000000000002E-2</v>
      </c>
      <c r="J71" s="12">
        <v>1.89</v>
      </c>
      <c r="K71" s="12">
        <v>1.3019754071975793</v>
      </c>
      <c r="L71" s="12">
        <v>4.4099968264487783</v>
      </c>
      <c r="M71" s="12">
        <v>-141.16999999999996</v>
      </c>
      <c r="N71" s="12">
        <v>6.0602005075520056E-3</v>
      </c>
    </row>
    <row r="72" spans="1:14" x14ac:dyDescent="0.2">
      <c r="A72" s="8">
        <v>2017</v>
      </c>
      <c r="B72" s="12" t="s">
        <v>48</v>
      </c>
      <c r="C72" s="12">
        <v>0.76</v>
      </c>
      <c r="D72" s="12">
        <v>0.38402705044708801</v>
      </c>
      <c r="E72" s="12">
        <v>0.37543966784821176</v>
      </c>
      <c r="F72" s="12">
        <v>215.76523399999996</v>
      </c>
      <c r="G72" s="12">
        <v>3.3000000000000002E-2</v>
      </c>
      <c r="H72" s="12">
        <v>0.13750000000000001</v>
      </c>
      <c r="I72" s="12">
        <v>4.3499999999999997E-2</v>
      </c>
      <c r="J72" s="12">
        <v>1.93</v>
      </c>
      <c r="K72" s="12">
        <v>1.2937701055582165</v>
      </c>
      <c r="L72" s="12">
        <v>4.370133957350256</v>
      </c>
      <c r="M72" s="12">
        <v>-337.43999999999994</v>
      </c>
      <c r="N72" s="12">
        <v>8.1575230537767936E-3</v>
      </c>
    </row>
    <row r="73" spans="1:14" x14ac:dyDescent="0.2">
      <c r="A73" s="8">
        <v>2016</v>
      </c>
      <c r="B73" s="12" t="s">
        <v>48</v>
      </c>
      <c r="C73" s="12">
        <v>0.77</v>
      </c>
      <c r="D73" s="12">
        <v>0.38483375335189485</v>
      </c>
      <c r="E73" s="12">
        <v>0.38402260396834997</v>
      </c>
      <c r="F73" s="12">
        <v>-8.3155819999999494</v>
      </c>
      <c r="G73" s="12">
        <v>3.1899999999999998E-2</v>
      </c>
      <c r="H73" s="12">
        <v>0.13830000000000001</v>
      </c>
      <c r="I73" s="12">
        <v>4.2700000000000002E-2</v>
      </c>
      <c r="J73" s="12">
        <v>1.9</v>
      </c>
      <c r="K73" s="12">
        <v>1.277495057446929</v>
      </c>
      <c r="L73" s="12">
        <v>4.3386269904434291</v>
      </c>
      <c r="M73" s="12">
        <v>-504.9</v>
      </c>
      <c r="N73" s="12">
        <v>8.4943710176187699E-3</v>
      </c>
    </row>
    <row r="74" spans="1:14" x14ac:dyDescent="0.2">
      <c r="A74" s="8">
        <v>2024</v>
      </c>
      <c r="B74" s="12" t="s">
        <v>49</v>
      </c>
      <c r="C74" s="12">
        <v>0.53</v>
      </c>
      <c r="D74" s="12">
        <v>0.23296023817021155</v>
      </c>
      <c r="E74" s="12">
        <v>0.29372962937214503</v>
      </c>
      <c r="F74" s="12">
        <v>170.84596799999997</v>
      </c>
      <c r="G74" s="12">
        <v>6.5500000000000003E-2</v>
      </c>
      <c r="H74" s="12">
        <v>0.29299999999999998</v>
      </c>
      <c r="I74" s="12">
        <v>0.1273</v>
      </c>
      <c r="J74" s="12">
        <v>0.66</v>
      </c>
      <c r="K74" s="12">
        <v>0.47933877880613701</v>
      </c>
      <c r="L74" s="12">
        <v>3.3883339238912149</v>
      </c>
      <c r="M74" s="12">
        <v>385.07000000000005</v>
      </c>
      <c r="N74" s="12">
        <v>9.9050836090311664E-2</v>
      </c>
    </row>
    <row r="75" spans="1:14" x14ac:dyDescent="0.2">
      <c r="A75" s="8">
        <v>2023</v>
      </c>
      <c r="B75" s="12" t="s">
        <v>49</v>
      </c>
      <c r="C75" s="12">
        <v>0.55000000000000004</v>
      </c>
      <c r="D75" s="12">
        <v>0.31169954321385607</v>
      </c>
      <c r="E75" s="12">
        <v>0.23403803668440873</v>
      </c>
      <c r="F75" s="12">
        <v>85.212368000000026</v>
      </c>
      <c r="G75" s="12">
        <v>5.57E-2</v>
      </c>
      <c r="H75" s="12">
        <v>0.29399999999999998</v>
      </c>
      <c r="I75" s="12">
        <v>0.12620000000000001</v>
      </c>
      <c r="J75" s="12">
        <v>0.96</v>
      </c>
      <c r="K75" s="12">
        <v>0.45363327282680738</v>
      </c>
      <c r="L75" s="12">
        <v>3.4054932064651666</v>
      </c>
      <c r="M75" s="12">
        <v>379.58000000000004</v>
      </c>
      <c r="N75" s="12">
        <v>8.5747643345152641E-2</v>
      </c>
    </row>
    <row r="76" spans="1:14" x14ac:dyDescent="0.2">
      <c r="A76" s="8">
        <v>2022</v>
      </c>
      <c r="B76" s="12" t="s">
        <v>49</v>
      </c>
      <c r="C76" s="12">
        <v>0.64</v>
      </c>
      <c r="D76" s="12">
        <v>0.39385872727746463</v>
      </c>
      <c r="E76" s="12">
        <v>0.21318580150947983</v>
      </c>
      <c r="F76" s="12">
        <v>100.98536799999999</v>
      </c>
      <c r="G76" s="12">
        <v>5.67E-2</v>
      </c>
      <c r="H76" s="12">
        <v>0.34449999999999997</v>
      </c>
      <c r="I76" s="12">
        <v>0.1399</v>
      </c>
      <c r="J76" s="12">
        <v>0.93</v>
      </c>
      <c r="K76" s="12">
        <v>0.3965905757963788</v>
      </c>
      <c r="L76" s="12">
        <v>3.3622524488848171</v>
      </c>
      <c r="M76" s="12">
        <v>214.17999999999998</v>
      </c>
      <c r="N76" s="12">
        <v>6.4769539426258682E-2</v>
      </c>
    </row>
    <row r="77" spans="1:14" x14ac:dyDescent="0.2">
      <c r="A77" s="8">
        <v>2021</v>
      </c>
      <c r="B77" s="12" t="s">
        <v>49</v>
      </c>
      <c r="C77" s="12">
        <v>0.63</v>
      </c>
      <c r="D77" s="12">
        <v>0.27755306763851884</v>
      </c>
      <c r="E77" s="12">
        <v>0.35054781724393397</v>
      </c>
      <c r="F77" s="12">
        <v>170.05756</v>
      </c>
      <c r="G77" s="12">
        <v>8.6499999999999994E-2</v>
      </c>
      <c r="H77" s="12">
        <v>0.59940000000000004</v>
      </c>
      <c r="I77" s="12">
        <v>0.23019999999999999</v>
      </c>
      <c r="J77" s="12">
        <v>0.69</v>
      </c>
      <c r="K77" s="12">
        <v>0.44198040982585712</v>
      </c>
      <c r="L77" s="12">
        <v>3.3370937010900166</v>
      </c>
      <c r="M77" s="12">
        <v>149.11999999999998</v>
      </c>
      <c r="N77" s="12">
        <v>6.9635601448575113E-2</v>
      </c>
    </row>
    <row r="78" spans="1:14" x14ac:dyDescent="0.2">
      <c r="A78" s="8">
        <v>2020</v>
      </c>
      <c r="B78" s="12" t="s">
        <v>49</v>
      </c>
      <c r="C78" s="12">
        <v>0.69</v>
      </c>
      <c r="D78" s="12">
        <v>0.26951073051015612</v>
      </c>
      <c r="E78" s="12">
        <v>0.41965432614484882</v>
      </c>
      <c r="F78" s="12">
        <v>191.345136</v>
      </c>
      <c r="G78" s="12">
        <v>0.2034</v>
      </c>
      <c r="H78" s="12">
        <v>0.68459999999999999</v>
      </c>
      <c r="I78" s="12">
        <v>0.24249999999999999</v>
      </c>
      <c r="J78" s="12">
        <v>0.88</v>
      </c>
      <c r="K78" s="12">
        <v>0.67542543680198819</v>
      </c>
      <c r="L78" s="12">
        <v>2.9811614606115748</v>
      </c>
      <c r="M78" s="12">
        <v>125.33999999999997</v>
      </c>
      <c r="N78" s="12">
        <v>0.14432666701477728</v>
      </c>
    </row>
    <row r="79" spans="1:14" x14ac:dyDescent="0.2">
      <c r="A79" s="8">
        <v>2019</v>
      </c>
      <c r="B79" s="12" t="s">
        <v>49</v>
      </c>
      <c r="C79" s="12">
        <v>0.66</v>
      </c>
      <c r="D79" s="12">
        <v>0.22836431860822104</v>
      </c>
      <c r="E79" s="12">
        <v>0.43583489681050658</v>
      </c>
      <c r="F79" s="12">
        <v>211.93595199999999</v>
      </c>
      <c r="G79" s="12">
        <v>0.36480000000000001</v>
      </c>
      <c r="H79" s="12">
        <v>1.1435</v>
      </c>
      <c r="I79" s="12">
        <v>0.31369999999999998</v>
      </c>
      <c r="J79" s="12">
        <v>0.53</v>
      </c>
      <c r="K79" s="12">
        <v>0.44224744491808332</v>
      </c>
      <c r="L79" s="12">
        <v>2.7681198941847973</v>
      </c>
      <c r="M79" s="12">
        <v>146.20000000000002</v>
      </c>
      <c r="N79" s="12">
        <v>0.22483370288248339</v>
      </c>
    </row>
    <row r="80" spans="1:14" x14ac:dyDescent="0.2">
      <c r="A80" s="8">
        <v>2018</v>
      </c>
      <c r="B80" s="12" t="s">
        <v>49</v>
      </c>
      <c r="C80" s="12">
        <v>0.63</v>
      </c>
      <c r="D80" s="12">
        <v>0.20577557413438999</v>
      </c>
      <c r="E80" s="12">
        <v>0.4273178017965687</v>
      </c>
      <c r="F80" s="12">
        <v>173.02725900000002</v>
      </c>
      <c r="G80" s="12">
        <v>0.36870000000000003</v>
      </c>
      <c r="H80" s="12">
        <v>1.0518000000000001</v>
      </c>
      <c r="I80" s="12">
        <v>0.30380000000000001</v>
      </c>
      <c r="J80" s="12">
        <v>0.6</v>
      </c>
      <c r="K80" s="12">
        <v>0.54559753579971826</v>
      </c>
      <c r="L80" s="12">
        <v>2.6830740681745597</v>
      </c>
      <c r="M80" s="12">
        <v>116.18999999999997</v>
      </c>
      <c r="N80" s="12">
        <v>5.559819928220236E-2</v>
      </c>
    </row>
    <row r="81" spans="1:14" x14ac:dyDescent="0.2">
      <c r="A81" s="8">
        <v>2017</v>
      </c>
      <c r="B81" s="12" t="s">
        <v>49</v>
      </c>
      <c r="C81" s="12">
        <v>0.73</v>
      </c>
      <c r="D81" s="12">
        <v>0.48522179480936845</v>
      </c>
      <c r="E81" s="12">
        <v>0.23721413383973641</v>
      </c>
      <c r="F81" s="12">
        <v>146.75125400000002</v>
      </c>
      <c r="G81" s="12">
        <v>0.25869999999999999</v>
      </c>
      <c r="H81" s="12">
        <v>0.98440000000000005</v>
      </c>
      <c r="I81" s="12">
        <v>0.3009</v>
      </c>
      <c r="J81" s="12">
        <v>0.55000000000000004</v>
      </c>
      <c r="K81" s="12">
        <v>0.25394293417209612</v>
      </c>
      <c r="L81" s="12">
        <v>2.7896582578269657</v>
      </c>
      <c r="M81" s="12">
        <v>83.519999999999982</v>
      </c>
      <c r="N81" s="12">
        <v>2.4914382172014738E-2</v>
      </c>
    </row>
    <row r="82" spans="1:14" x14ac:dyDescent="0.2">
      <c r="A82" s="8">
        <v>2016</v>
      </c>
      <c r="B82" s="12" t="s">
        <v>49</v>
      </c>
      <c r="C82" s="12">
        <v>0.39</v>
      </c>
      <c r="D82" s="12">
        <v>4.718355861514497E-2</v>
      </c>
      <c r="E82" s="12">
        <v>0.33922918446309236</v>
      </c>
      <c r="F82" s="12">
        <v>131.088776</v>
      </c>
      <c r="G82" s="12">
        <v>0.72899999999999998</v>
      </c>
      <c r="H82" s="12">
        <v>1.2525999999999999</v>
      </c>
      <c r="I82" s="12">
        <v>0.35930000000000001</v>
      </c>
      <c r="J82" s="12">
        <v>2</v>
      </c>
      <c r="K82" s="12">
        <v>2.0915474642392717</v>
      </c>
      <c r="L82" s="12">
        <v>2.2988748997046988</v>
      </c>
      <c r="M82" s="12">
        <v>56.81</v>
      </c>
      <c r="N82" s="12">
        <v>4.8590523089291994E-2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430B-ABBC-C74C-A504-D0C0B6A09512}">
  <dimension ref="A1:N48"/>
  <sheetViews>
    <sheetView workbookViewId="0">
      <selection activeCell="B1" sqref="B1:J1"/>
    </sheetView>
  </sheetViews>
  <sheetFormatPr baseColWidth="10" defaultRowHeight="16" x14ac:dyDescent="0.2"/>
  <cols>
    <col min="1" max="1" width="46.33203125" style="4" bestFit="1" customWidth="1"/>
    <col min="2" max="2" width="10.83203125" style="8"/>
    <col min="3" max="5" width="11.33203125" style="8" bestFit="1" customWidth="1"/>
    <col min="6" max="7" width="11" style="8" bestFit="1" customWidth="1"/>
    <col min="8" max="10" width="10.83203125" style="8"/>
    <col min="11" max="16384" width="10.83203125" style="4"/>
  </cols>
  <sheetData>
    <row r="1" spans="1:10" x14ac:dyDescent="0.2">
      <c r="A1" s="4" t="s">
        <v>12</v>
      </c>
      <c r="B1" s="8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0" x14ac:dyDescent="0.2">
      <c r="A2" s="4" t="s">
        <v>13</v>
      </c>
    </row>
    <row r="3" spans="1:10" x14ac:dyDescent="0.2">
      <c r="A3" s="5" t="s">
        <v>4</v>
      </c>
      <c r="B3" s="12"/>
      <c r="C3" s="28">
        <v>822.03</v>
      </c>
      <c r="D3" s="28">
        <v>770.46</v>
      </c>
      <c r="E3" s="28">
        <v>531.37</v>
      </c>
      <c r="F3" s="28">
        <v>300.48</v>
      </c>
      <c r="G3" s="28">
        <v>261.13</v>
      </c>
      <c r="H3" s="28">
        <v>137.61000000000001</v>
      </c>
      <c r="I3" s="28">
        <v>300.01</v>
      </c>
      <c r="J3" s="28">
        <v>386</v>
      </c>
    </row>
    <row r="4" spans="1:10" x14ac:dyDescent="0.2">
      <c r="A4" s="5" t="s">
        <v>22</v>
      </c>
      <c r="B4" s="12"/>
      <c r="C4" s="28">
        <v>60.77</v>
      </c>
      <c r="D4" s="28">
        <v>35.32</v>
      </c>
      <c r="E4" s="28">
        <v>7.37</v>
      </c>
      <c r="F4" s="28">
        <v>4.71</v>
      </c>
      <c r="G4" s="28">
        <v>5.62</v>
      </c>
      <c r="H4" s="28">
        <v>4.5599999999999996</v>
      </c>
      <c r="I4" s="28">
        <v>4.21</v>
      </c>
      <c r="J4" s="28">
        <v>17.77</v>
      </c>
    </row>
    <row r="5" spans="1:10" x14ac:dyDescent="0.2">
      <c r="A5" s="5" t="s">
        <v>5</v>
      </c>
      <c r="B5" s="12"/>
      <c r="C5" s="28">
        <v>149.63999999999999</v>
      </c>
      <c r="D5" s="28">
        <v>196.53</v>
      </c>
      <c r="E5" s="28">
        <v>135.38</v>
      </c>
      <c r="F5" s="28">
        <v>72.58</v>
      </c>
      <c r="G5" s="28">
        <v>101.82</v>
      </c>
      <c r="H5" s="28">
        <v>54.56</v>
      </c>
      <c r="I5" s="28">
        <v>63.82</v>
      </c>
      <c r="J5" s="28">
        <v>83.95</v>
      </c>
    </row>
    <row r="6" spans="1:10" x14ac:dyDescent="0.2">
      <c r="A6" s="5" t="s">
        <v>33</v>
      </c>
      <c r="B6" s="12"/>
      <c r="C6" s="28">
        <v>20.34</v>
      </c>
      <c r="D6" s="28">
        <v>18.87</v>
      </c>
      <c r="E6" s="28">
        <v>16.53</v>
      </c>
      <c r="F6" s="28">
        <v>6.77</v>
      </c>
      <c r="G6" s="28">
        <v>6.35</v>
      </c>
      <c r="H6" s="28">
        <v>3.88</v>
      </c>
      <c r="I6" s="28">
        <v>6.35</v>
      </c>
      <c r="J6" s="28">
        <v>8.01</v>
      </c>
    </row>
    <row r="7" spans="1:10" x14ac:dyDescent="0.2">
      <c r="A7" s="5" t="s">
        <v>34</v>
      </c>
      <c r="B7" s="12"/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</row>
    <row r="8" spans="1:10" x14ac:dyDescent="0.2">
      <c r="A8" s="4" t="s">
        <v>6</v>
      </c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2"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2">
      <c r="A10" s="4" t="s">
        <v>9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">
      <c r="A11" s="5" t="s">
        <v>7</v>
      </c>
      <c r="B11" s="12"/>
      <c r="C11" s="28">
        <v>203.18</v>
      </c>
      <c r="D11" s="28">
        <v>149.78</v>
      </c>
      <c r="E11" s="28">
        <v>86.88</v>
      </c>
      <c r="F11" s="28">
        <v>44.21</v>
      </c>
      <c r="G11" s="28">
        <v>39.58</v>
      </c>
      <c r="H11" s="28">
        <v>24.14</v>
      </c>
      <c r="I11" s="28">
        <v>20.45</v>
      </c>
      <c r="J11" s="28">
        <v>31.34</v>
      </c>
    </row>
    <row r="12" spans="1:10" x14ac:dyDescent="0.2">
      <c r="A12" s="5" t="s">
        <v>8</v>
      </c>
      <c r="B12" s="12"/>
      <c r="C12" s="28">
        <v>203.18</v>
      </c>
      <c r="D12" s="28">
        <v>149.78</v>
      </c>
      <c r="E12" s="28">
        <v>86.88</v>
      </c>
      <c r="F12" s="28">
        <v>44.21</v>
      </c>
      <c r="G12" s="28">
        <v>39.58</v>
      </c>
      <c r="H12" s="28">
        <v>24.14</v>
      </c>
      <c r="I12" s="28">
        <v>20.45</v>
      </c>
      <c r="J12" s="28">
        <v>31.34</v>
      </c>
    </row>
    <row r="13" spans="1:10" x14ac:dyDescent="0.2"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">
      <c r="A14" s="5" t="s">
        <v>32</v>
      </c>
      <c r="B14" s="28"/>
      <c r="C14" s="28">
        <v>55.18</v>
      </c>
      <c r="D14" s="28">
        <v>52.33</v>
      </c>
      <c r="E14" s="28">
        <v>23.12</v>
      </c>
      <c r="F14" s="28">
        <v>10.47</v>
      </c>
      <c r="G14" s="28">
        <v>7.79</v>
      </c>
      <c r="H14" s="28">
        <v>-158.35</v>
      </c>
      <c r="I14" s="28">
        <v>-69.540000000000006</v>
      </c>
      <c r="J14" s="28">
        <v>-91.37</v>
      </c>
    </row>
    <row r="15" spans="1:10" x14ac:dyDescent="0.2">
      <c r="A15" s="5" t="s">
        <v>23</v>
      </c>
      <c r="B15" s="12"/>
      <c r="C15" s="28">
        <v>-6.94</v>
      </c>
      <c r="D15" s="28">
        <v>26.45</v>
      </c>
      <c r="E15" s="28">
        <v>4.38</v>
      </c>
      <c r="F15" s="28">
        <v>-0.88</v>
      </c>
      <c r="G15" s="28">
        <v>2.5</v>
      </c>
      <c r="H15" s="28">
        <v>-164.09</v>
      </c>
      <c r="I15" s="28">
        <v>-83.28</v>
      </c>
      <c r="J15" s="28">
        <v>-93.51</v>
      </c>
    </row>
    <row r="16" spans="1:10" x14ac:dyDescent="0.2">
      <c r="A16" s="5" t="s">
        <v>24</v>
      </c>
      <c r="B16" s="12"/>
      <c r="C16" s="28">
        <v>468.88</v>
      </c>
      <c r="D16" s="28">
        <v>472.64</v>
      </c>
      <c r="E16" s="28">
        <v>296.73</v>
      </c>
      <c r="F16" s="28">
        <v>177.83</v>
      </c>
      <c r="G16" s="28">
        <v>176</v>
      </c>
      <c r="H16" s="28">
        <v>93.09</v>
      </c>
      <c r="I16" s="28">
        <v>257.08999999999997</v>
      </c>
      <c r="J16" s="28">
        <v>342.45</v>
      </c>
    </row>
    <row r="17" spans="1:10" x14ac:dyDescent="0.2">
      <c r="A17" s="5" t="s">
        <v>25</v>
      </c>
      <c r="B17" s="28">
        <v>0.10879999999999999</v>
      </c>
      <c r="C17" s="28">
        <v>0.13039999999999999</v>
      </c>
      <c r="D17" s="28">
        <v>0.1239</v>
      </c>
      <c r="E17" s="28">
        <v>4.4200000000000003E-2</v>
      </c>
      <c r="F17" s="12">
        <v>2.76E-2</v>
      </c>
      <c r="G17" s="12">
        <v>5.96E-2</v>
      </c>
      <c r="H17" s="12">
        <v>6.4299999999999996E-2</v>
      </c>
      <c r="I17" s="12">
        <v>9.9400000000000002E-2</v>
      </c>
      <c r="J17" s="12">
        <v>0.14019999999999999</v>
      </c>
    </row>
    <row r="18" spans="1:10" x14ac:dyDescent="0.2">
      <c r="C18" s="11"/>
      <c r="D18" s="11"/>
      <c r="E18" s="11"/>
      <c r="F18" s="11"/>
      <c r="G18" s="11"/>
    </row>
    <row r="19" spans="1:10" x14ac:dyDescent="0.2">
      <c r="A19" s="5" t="s">
        <v>35</v>
      </c>
      <c r="C19" s="33">
        <v>43.39</v>
      </c>
      <c r="D19" s="33">
        <v>26.68</v>
      </c>
      <c r="E19" s="33">
        <v>33.590000000000003</v>
      </c>
      <c r="F19" s="33">
        <v>30.9</v>
      </c>
      <c r="G19" s="8">
        <v>27.13</v>
      </c>
      <c r="H19" s="33">
        <v>17.23</v>
      </c>
      <c r="I19" s="33">
        <v>11.71</v>
      </c>
      <c r="J19" s="33">
        <v>20.149999999999999</v>
      </c>
    </row>
    <row r="20" spans="1:10" x14ac:dyDescent="0.2">
      <c r="A20" s="5" t="s">
        <v>36</v>
      </c>
      <c r="C20" s="11"/>
      <c r="D20" s="11"/>
      <c r="E20" s="11"/>
      <c r="F20" s="11"/>
      <c r="G20" s="11"/>
    </row>
    <row r="21" spans="1:10" x14ac:dyDescent="0.2">
      <c r="A21" s="5" t="s">
        <v>37</v>
      </c>
      <c r="C21" s="11"/>
      <c r="D21" s="11"/>
      <c r="E21" s="11"/>
      <c r="F21" s="11"/>
      <c r="G21" s="11"/>
    </row>
    <row r="22" spans="1:10" x14ac:dyDescent="0.2">
      <c r="A22" s="5" t="s">
        <v>38</v>
      </c>
      <c r="C22" s="11"/>
      <c r="D22" s="11"/>
      <c r="E22" s="11"/>
      <c r="F22" s="11"/>
      <c r="G22" s="11"/>
    </row>
    <row r="23" spans="1:10" x14ac:dyDescent="0.2">
      <c r="C23" s="11"/>
      <c r="D23" s="11"/>
      <c r="E23" s="11"/>
      <c r="F23" s="11"/>
      <c r="G23" s="11"/>
    </row>
    <row r="24" spans="1:10" x14ac:dyDescent="0.2">
      <c r="A24" s="5" t="s">
        <v>41</v>
      </c>
      <c r="B24" s="28">
        <v>0.5</v>
      </c>
      <c r="C24" s="28">
        <v>0.43</v>
      </c>
      <c r="D24" s="28">
        <v>0.39</v>
      </c>
      <c r="E24" s="28">
        <v>0.44</v>
      </c>
      <c r="F24" s="28">
        <v>0.41</v>
      </c>
      <c r="G24" s="28">
        <v>0.33</v>
      </c>
      <c r="H24" s="28">
        <v>0.32</v>
      </c>
      <c r="I24" s="28">
        <v>0.14000000000000001</v>
      </c>
      <c r="J24" s="28">
        <v>0.11</v>
      </c>
    </row>
    <row r="25" spans="1:10" x14ac:dyDescent="0.2"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6" t="s">
        <v>0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7" t="s">
        <v>1</v>
      </c>
      <c r="B28" s="12" t="e">
        <f>B2/B3</f>
        <v>#DIV/0!</v>
      </c>
      <c r="C28" s="12">
        <f>C2/C3</f>
        <v>0</v>
      </c>
      <c r="D28" s="12">
        <f t="shared" ref="D28:J28" si="0">D2/D3</f>
        <v>0</v>
      </c>
      <c r="E28" s="12">
        <f t="shared" si="0"/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  <c r="I28" s="12">
        <f t="shared" si="0"/>
        <v>0</v>
      </c>
      <c r="J28" s="12">
        <f t="shared" si="0"/>
        <v>0</v>
      </c>
    </row>
    <row r="29" spans="1:10" x14ac:dyDescent="0.2">
      <c r="A29" s="4" t="s">
        <v>2</v>
      </c>
      <c r="B29" s="12" t="e">
        <f>B12/B3</f>
        <v>#DIV/0!</v>
      </c>
      <c r="C29" s="12">
        <f>C12/C3</f>
        <v>0.24716859482014039</v>
      </c>
      <c r="D29" s="12">
        <f t="shared" ref="D29:J29" si="1">D12/D3</f>
        <v>0.19440334345715546</v>
      </c>
      <c r="E29" s="12">
        <f t="shared" si="1"/>
        <v>0.1635018913374861</v>
      </c>
      <c r="F29" s="12">
        <f t="shared" si="1"/>
        <v>0.14713125665601703</v>
      </c>
      <c r="G29" s="12">
        <f t="shared" si="1"/>
        <v>0.15157201393941713</v>
      </c>
      <c r="H29" s="12">
        <f t="shared" si="1"/>
        <v>0.17542329772545598</v>
      </c>
      <c r="I29" s="12">
        <f t="shared" si="1"/>
        <v>6.8164394520182664E-2</v>
      </c>
      <c r="J29" s="12">
        <f t="shared" si="1"/>
        <v>8.119170984455959E-2</v>
      </c>
    </row>
    <row r="30" spans="1:10" x14ac:dyDescent="0.2">
      <c r="A30" s="4" t="s">
        <v>3</v>
      </c>
      <c r="B30" s="12" t="e">
        <f>B11/B3</f>
        <v>#DIV/0!</v>
      </c>
      <c r="C30" s="12">
        <f>C11/C3</f>
        <v>0.24716859482014039</v>
      </c>
      <c r="D30" s="12">
        <f t="shared" ref="D30:J30" si="2">D11/D3</f>
        <v>0.19440334345715546</v>
      </c>
      <c r="E30" s="12">
        <f t="shared" si="2"/>
        <v>0.1635018913374861</v>
      </c>
      <c r="F30" s="12">
        <f t="shared" si="2"/>
        <v>0.14713125665601703</v>
      </c>
      <c r="G30" s="12">
        <f t="shared" si="2"/>
        <v>0.15157201393941713</v>
      </c>
      <c r="H30" s="12">
        <f t="shared" si="2"/>
        <v>0.17542329772545598</v>
      </c>
      <c r="I30" s="12">
        <f t="shared" si="2"/>
        <v>6.8164394520182664E-2</v>
      </c>
      <c r="J30" s="12">
        <f t="shared" si="2"/>
        <v>8.119170984455959E-2</v>
      </c>
    </row>
    <row r="31" spans="1:10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4" x14ac:dyDescent="0.2">
      <c r="A33" s="6" t="s">
        <v>14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4" x14ac:dyDescent="0.2">
      <c r="A34" s="7" t="s">
        <v>39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4" x14ac:dyDescent="0.2">
      <c r="A35" s="7" t="s">
        <v>15</v>
      </c>
      <c r="B35" s="12"/>
      <c r="C35" s="12">
        <f>C34/C3</f>
        <v>0</v>
      </c>
      <c r="D35" s="12"/>
      <c r="E35" s="12"/>
      <c r="F35" s="12"/>
      <c r="G35" s="12"/>
      <c r="H35" s="12"/>
      <c r="I35" s="12"/>
      <c r="J35" s="12"/>
      <c r="K35" s="14"/>
      <c r="L35" s="14"/>
      <c r="M35" s="14"/>
      <c r="N35" s="15"/>
    </row>
    <row r="36" spans="1:14" x14ac:dyDescent="0.2">
      <c r="A36" s="4" t="s">
        <v>16</v>
      </c>
      <c r="B36" s="12"/>
      <c r="C36" s="12">
        <f>C15-(C16*C17)</f>
        <v>-68.081952000000001</v>
      </c>
      <c r="D36" s="12">
        <f t="shared" ref="D36:J36" si="3">D15-(D16*D17)</f>
        <v>-32.110095999999999</v>
      </c>
      <c r="E36" s="12">
        <f t="shared" si="3"/>
        <v>-8.7354660000000024</v>
      </c>
      <c r="F36" s="12">
        <f t="shared" si="3"/>
        <v>-5.7881080000000003</v>
      </c>
      <c r="G36" s="12">
        <f t="shared" si="3"/>
        <v>-7.9895999999999994</v>
      </c>
      <c r="H36" s="12">
        <f t="shared" si="3"/>
        <v>-170.07568700000002</v>
      </c>
      <c r="I36" s="12">
        <f t="shared" si="3"/>
        <v>-108.834746</v>
      </c>
      <c r="J36" s="12">
        <f t="shared" si="3"/>
        <v>-141.52149</v>
      </c>
      <c r="K36" s="14"/>
      <c r="L36" s="14"/>
      <c r="M36" s="14"/>
      <c r="N36" s="15"/>
    </row>
    <row r="37" spans="1:14" x14ac:dyDescent="0.2">
      <c r="A37" s="5" t="s">
        <v>17</v>
      </c>
      <c r="B37" s="28">
        <v>-3.09E-2</v>
      </c>
      <c r="C37" s="28">
        <v>-8.0000000000000002E-3</v>
      </c>
      <c r="D37" s="28">
        <v>3.4599999999999999E-2</v>
      </c>
      <c r="E37" s="28">
        <v>8.3999999999999995E-3</v>
      </c>
      <c r="F37" s="28">
        <v>-2.3E-3</v>
      </c>
      <c r="G37" s="28">
        <v>9.5999999999999992E-3</v>
      </c>
      <c r="H37" s="28">
        <v>-1.1898</v>
      </c>
      <c r="I37" s="28">
        <v>-0.27529999999999999</v>
      </c>
      <c r="J37" s="28">
        <v>-0.249</v>
      </c>
      <c r="K37" s="14"/>
      <c r="L37" s="14"/>
      <c r="M37" s="14"/>
      <c r="N37" s="15"/>
    </row>
    <row r="38" spans="1:14" x14ac:dyDescent="0.2">
      <c r="A38" s="5" t="s">
        <v>18</v>
      </c>
      <c r="B38" s="28">
        <v>-6.1499999999999999E-2</v>
      </c>
      <c r="C38" s="28">
        <v>-1.4E-2</v>
      </c>
      <c r="D38" s="28">
        <v>5.6399999999999999E-2</v>
      </c>
      <c r="E38" s="28">
        <v>1.4999999999999999E-2</v>
      </c>
      <c r="F38" s="28">
        <v>-3.8999999999999998E-3</v>
      </c>
      <c r="G38" s="28">
        <v>1.4200000000000001E-2</v>
      </c>
      <c r="H38" s="28">
        <v>-1.7577</v>
      </c>
      <c r="I38" s="28">
        <v>-0.32019999999999998</v>
      </c>
      <c r="J38" s="28">
        <v>-0.28149999999999997</v>
      </c>
      <c r="K38" s="14"/>
      <c r="L38" s="14"/>
      <c r="M38" s="14"/>
      <c r="N38" s="15"/>
    </row>
    <row r="39" spans="1:14" x14ac:dyDescent="0.2">
      <c r="A39" s="5" t="s">
        <v>19</v>
      </c>
      <c r="B39" s="28">
        <v>-8.1600000000000006E-2</v>
      </c>
      <c r="C39" s="28">
        <v>-2.06E-2</v>
      </c>
      <c r="D39" s="28">
        <v>0.1095</v>
      </c>
      <c r="E39" s="28">
        <v>3.0200000000000001E-2</v>
      </c>
      <c r="F39" s="28">
        <v>-6.7000000000000002E-3</v>
      </c>
      <c r="G39" s="28">
        <v>2.7400000000000001E-2</v>
      </c>
      <c r="H39" s="28">
        <v>-1.8693</v>
      </c>
      <c r="I39" s="28">
        <v>-0.95130000000000003</v>
      </c>
      <c r="J39" s="28">
        <v>-0.81440000000000001</v>
      </c>
      <c r="K39" s="14"/>
      <c r="L39" s="14"/>
      <c r="M39" s="14"/>
      <c r="N39" s="15"/>
    </row>
    <row r="40" spans="1:14" x14ac:dyDescent="0.2">
      <c r="A40" s="5" t="s">
        <v>20</v>
      </c>
      <c r="B40" s="28">
        <v>1.03</v>
      </c>
      <c r="C40" s="28">
        <v>0.74</v>
      </c>
      <c r="D40" s="28">
        <v>1.31</v>
      </c>
      <c r="E40" s="28">
        <v>1.56</v>
      </c>
      <c r="F40" s="28">
        <v>1.64</v>
      </c>
      <c r="G40" s="28">
        <v>2.57</v>
      </c>
      <c r="H40" s="28">
        <v>2.2599999999999998</v>
      </c>
      <c r="I40" s="28">
        <v>3.12</v>
      </c>
      <c r="J40" s="28">
        <v>2.68</v>
      </c>
      <c r="K40" s="14"/>
      <c r="L40" s="14"/>
      <c r="M40" s="14"/>
      <c r="N40" s="15"/>
    </row>
    <row r="41" spans="1:14" x14ac:dyDescent="0.2">
      <c r="A41" s="4" t="s">
        <v>21</v>
      </c>
      <c r="B41" s="12"/>
      <c r="C41" s="12">
        <f>(C5+C4)/(C11+C12)</f>
        <v>0.51779210552219701</v>
      </c>
      <c r="D41" s="12">
        <f t="shared" ref="D41:J41" si="4">(D5+D4)/(D11+D12)</f>
        <v>0.77396848711443444</v>
      </c>
      <c r="E41" s="12">
        <f t="shared" si="4"/>
        <v>0.8215354511970534</v>
      </c>
      <c r="F41" s="12">
        <f t="shared" si="4"/>
        <v>0.87412350147025553</v>
      </c>
      <c r="G41" s="12">
        <f t="shared" si="4"/>
        <v>1.3572511369378475</v>
      </c>
      <c r="H41" s="12">
        <f t="shared" si="4"/>
        <v>1.2245236122618062</v>
      </c>
      <c r="I41" s="12">
        <f t="shared" si="4"/>
        <v>1.6633251833740832</v>
      </c>
      <c r="J41" s="12">
        <f t="shared" si="4"/>
        <v>1.6228462029355457</v>
      </c>
      <c r="K41" s="14"/>
      <c r="L41" s="14"/>
      <c r="M41" s="14"/>
      <c r="N41" s="15"/>
    </row>
    <row r="42" spans="1:14" x14ac:dyDescent="0.2">
      <c r="B42" s="12"/>
      <c r="C42" s="12"/>
      <c r="D42" s="12"/>
      <c r="E42" s="12"/>
      <c r="F42" s="12"/>
      <c r="G42" s="12"/>
      <c r="H42" s="12"/>
      <c r="I42" s="12"/>
      <c r="J42" s="12"/>
      <c r="K42" s="14"/>
      <c r="L42" s="14"/>
      <c r="M42" s="14"/>
      <c r="N42" s="15"/>
    </row>
    <row r="43" spans="1:14" x14ac:dyDescent="0.2">
      <c r="A43" s="6" t="s">
        <v>26</v>
      </c>
      <c r="B43" s="12"/>
      <c r="C43" s="12"/>
      <c r="D43" s="12"/>
      <c r="E43" s="12"/>
      <c r="F43" s="12"/>
      <c r="G43" s="12"/>
      <c r="H43" s="12"/>
      <c r="I43" s="12"/>
      <c r="J43" s="12"/>
      <c r="K43" s="14"/>
      <c r="L43" s="14"/>
      <c r="M43" s="14"/>
      <c r="N43" s="15"/>
    </row>
    <row r="44" spans="1:14" x14ac:dyDescent="0.2">
      <c r="A44" s="4" t="s">
        <v>27</v>
      </c>
      <c r="B44" s="12"/>
      <c r="C44" s="12">
        <f>LOG10(C3)</f>
        <v>2.9148876674143938</v>
      </c>
      <c r="D44" s="12">
        <f t="shared" ref="D44:J44" si="5">LOG10(D3)</f>
        <v>2.8867500963572104</v>
      </c>
      <c r="E44" s="12">
        <f t="shared" si="5"/>
        <v>2.7253970314400093</v>
      </c>
      <c r="F44" s="12">
        <f t="shared" si="5"/>
        <v>2.4778155705860168</v>
      </c>
      <c r="G44" s="12">
        <f t="shared" si="5"/>
        <v>2.4168567687437319</v>
      </c>
      <c r="H44" s="12">
        <f t="shared" si="5"/>
        <v>2.1386499948516451</v>
      </c>
      <c r="I44" s="12">
        <f t="shared" si="5"/>
        <v>2.4771357309611233</v>
      </c>
      <c r="J44" s="12">
        <f t="shared" si="5"/>
        <v>2.5865873046717551</v>
      </c>
    </row>
    <row r="45" spans="1:14" x14ac:dyDescent="0.2">
      <c r="A45" s="4" t="s">
        <v>28</v>
      </c>
      <c r="B45" s="12"/>
      <c r="C45" s="12">
        <f>C14-C15</f>
        <v>62.12</v>
      </c>
      <c r="D45" s="12">
        <f t="shared" ref="D45:J45" si="6">D14-D15</f>
        <v>25.88</v>
      </c>
      <c r="E45" s="12">
        <f t="shared" si="6"/>
        <v>18.740000000000002</v>
      </c>
      <c r="F45" s="12">
        <f t="shared" si="6"/>
        <v>11.350000000000001</v>
      </c>
      <c r="G45" s="12">
        <f t="shared" si="6"/>
        <v>5.29</v>
      </c>
      <c r="H45" s="12">
        <f t="shared" si="6"/>
        <v>5.7400000000000091</v>
      </c>
      <c r="I45" s="12">
        <f t="shared" si="6"/>
        <v>13.739999999999995</v>
      </c>
      <c r="J45" s="12">
        <f t="shared" si="6"/>
        <v>2.1400000000000006</v>
      </c>
    </row>
    <row r="46" spans="1:14" x14ac:dyDescent="0.2">
      <c r="A46" s="4" t="s">
        <v>29</v>
      </c>
      <c r="B46" s="12"/>
      <c r="C46" s="12">
        <f>(C6+C7)/C3</f>
        <v>2.474362249552936E-2</v>
      </c>
      <c r="D46" s="12">
        <f t="shared" ref="D46:J46" si="7">(D6+D7)/D3</f>
        <v>2.4491862004516782E-2</v>
      </c>
      <c r="E46" s="12">
        <f t="shared" si="7"/>
        <v>3.1108267309031372E-2</v>
      </c>
      <c r="F46" s="12">
        <f t="shared" si="7"/>
        <v>2.2530617678381253E-2</v>
      </c>
      <c r="G46" s="12">
        <f t="shared" si="7"/>
        <v>2.4317389805843831E-2</v>
      </c>
      <c r="H46" s="12">
        <f t="shared" si="7"/>
        <v>2.8195625317927471E-2</v>
      </c>
      <c r="I46" s="12">
        <f t="shared" si="7"/>
        <v>2.1165961134628847E-2</v>
      </c>
      <c r="J46" s="12">
        <f t="shared" si="7"/>
        <v>2.0751295336787563E-2</v>
      </c>
    </row>
    <row r="47" spans="1:14" x14ac:dyDescent="0.2">
      <c r="A47" s="7" t="s">
        <v>30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4" x14ac:dyDescent="0.2">
      <c r="A48" s="7" t="s">
        <v>31</v>
      </c>
      <c r="B48" s="12"/>
      <c r="C48" s="12">
        <f>(C3-C16+C34)/C3</f>
        <v>0.42960719195163194</v>
      </c>
      <c r="D48" s="12">
        <f t="shared" ref="D48:J48" si="8">(D3-D16+D34)/D3</f>
        <v>0.38654829582327443</v>
      </c>
      <c r="E48" s="12">
        <f t="shared" si="8"/>
        <v>0.4415755499934132</v>
      </c>
      <c r="F48" s="12">
        <f t="shared" si="8"/>
        <v>0.40818024494142702</v>
      </c>
      <c r="G48" s="12">
        <f t="shared" si="8"/>
        <v>0.32600620380653311</v>
      </c>
      <c r="H48" s="12">
        <f t="shared" si="8"/>
        <v>0.32352299978199262</v>
      </c>
      <c r="I48" s="12">
        <f t="shared" si="8"/>
        <v>0.14306189793673549</v>
      </c>
      <c r="J48" s="12">
        <f t="shared" si="8"/>
        <v>0.11282383419689122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FE3B-D519-164C-ADE9-7128A546FAFA}">
  <dimension ref="A1:N48"/>
  <sheetViews>
    <sheetView workbookViewId="0">
      <selection activeCell="A24" sqref="A24:J48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4" x14ac:dyDescent="0.2">
      <c r="A1" s="4" t="s">
        <v>12</v>
      </c>
      <c r="B1" s="6">
        <v>2024</v>
      </c>
      <c r="C1" s="6">
        <v>2023</v>
      </c>
      <c r="D1" s="6">
        <v>2022</v>
      </c>
      <c r="E1" s="6">
        <v>2021</v>
      </c>
      <c r="F1" s="6">
        <v>2020</v>
      </c>
      <c r="G1" s="6">
        <v>2019</v>
      </c>
      <c r="H1" s="6">
        <v>2018</v>
      </c>
      <c r="I1" s="6">
        <v>2017</v>
      </c>
      <c r="J1" s="6">
        <v>2016</v>
      </c>
    </row>
    <row r="2" spans="1:14" x14ac:dyDescent="0.2">
      <c r="A2" s="4" t="s">
        <v>13</v>
      </c>
      <c r="B2" s="6"/>
      <c r="C2" s="10"/>
      <c r="E2" s="10"/>
      <c r="G2" s="10"/>
      <c r="I2" s="10"/>
    </row>
    <row r="3" spans="1:14" x14ac:dyDescent="0.2">
      <c r="A3" s="5" t="s">
        <v>4</v>
      </c>
      <c r="B3" s="12">
        <v>21615.59</v>
      </c>
      <c r="C3" s="12">
        <v>18272.62</v>
      </c>
      <c r="D3" s="12">
        <v>16129.83</v>
      </c>
      <c r="E3" s="12">
        <v>13314.22</v>
      </c>
      <c r="F3" s="12">
        <v>10900.3</v>
      </c>
      <c r="G3" s="12">
        <v>14926.55</v>
      </c>
      <c r="H3" s="12">
        <v>13680.12</v>
      </c>
      <c r="I3" s="12">
        <v>13334.41</v>
      </c>
      <c r="J3" s="12">
        <v>12542.31</v>
      </c>
      <c r="L3" s="17"/>
      <c r="N3" s="17"/>
    </row>
    <row r="4" spans="1:14" x14ac:dyDescent="0.2">
      <c r="A4" s="5" t="s">
        <v>22</v>
      </c>
      <c r="B4" s="12">
        <v>2880.64</v>
      </c>
      <c r="C4" s="12">
        <v>3003.37</v>
      </c>
      <c r="D4" s="12">
        <v>1387.9</v>
      </c>
      <c r="E4" s="12">
        <v>1046.3900000000001</v>
      </c>
      <c r="F4" s="12">
        <v>1191.5899999999999</v>
      </c>
      <c r="G4" s="12">
        <v>1264.02</v>
      </c>
      <c r="H4" s="12">
        <v>1153.19</v>
      </c>
      <c r="I4" s="12">
        <v>700.72</v>
      </c>
      <c r="J4" s="12">
        <v>1055.95</v>
      </c>
      <c r="L4" s="17"/>
      <c r="N4" s="18"/>
    </row>
    <row r="5" spans="1:14" x14ac:dyDescent="0.2">
      <c r="A5" s="5" t="s">
        <v>5</v>
      </c>
      <c r="B5" s="12">
        <v>9905.7099999999991</v>
      </c>
      <c r="C5" s="12">
        <v>5933.76</v>
      </c>
      <c r="D5" s="12">
        <v>7221.1</v>
      </c>
      <c r="E5" s="12">
        <v>5125.63</v>
      </c>
      <c r="F5" s="12">
        <v>3618.88</v>
      </c>
      <c r="G5" s="12">
        <v>8738.26</v>
      </c>
      <c r="H5" s="12">
        <v>7195</v>
      </c>
      <c r="I5" s="12">
        <v>4994.78</v>
      </c>
      <c r="J5" s="12">
        <v>3238.77</v>
      </c>
      <c r="L5" s="17"/>
      <c r="N5" s="17"/>
    </row>
    <row r="6" spans="1:14" x14ac:dyDescent="0.2">
      <c r="A6" s="5" t="s">
        <v>33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L6" s="19"/>
      <c r="N6" s="19"/>
    </row>
    <row r="7" spans="1:14" x14ac:dyDescent="0.2">
      <c r="A7" s="5" t="s">
        <v>34</v>
      </c>
      <c r="B7" s="12">
        <v>8826.4599999999991</v>
      </c>
      <c r="C7" s="12">
        <v>9331.91</v>
      </c>
      <c r="D7" s="12">
        <v>7516.81</v>
      </c>
      <c r="E7" s="12">
        <v>7137.24</v>
      </c>
      <c r="F7" s="12">
        <v>6084.35</v>
      </c>
      <c r="G7" s="12">
        <v>4918.37</v>
      </c>
      <c r="H7" s="12">
        <v>5326.32</v>
      </c>
      <c r="I7" s="12">
        <v>7633.36</v>
      </c>
      <c r="J7" s="12">
        <v>8243.7999999999993</v>
      </c>
      <c r="L7" s="18"/>
      <c r="N7" s="18"/>
    </row>
    <row r="8" spans="1:14" x14ac:dyDescent="0.2">
      <c r="A8" s="4" t="s">
        <v>6</v>
      </c>
      <c r="B8" s="32"/>
      <c r="C8" s="12"/>
      <c r="D8" s="12"/>
      <c r="E8" s="12"/>
      <c r="F8" s="12"/>
      <c r="G8" s="12"/>
      <c r="H8" s="12"/>
      <c r="I8" s="12"/>
      <c r="J8" s="12"/>
    </row>
    <row r="9" spans="1:14" x14ac:dyDescent="0.2">
      <c r="B9" s="32"/>
      <c r="C9" s="12"/>
      <c r="D9" s="12"/>
      <c r="E9" s="12"/>
      <c r="F9" s="12"/>
      <c r="G9" s="12"/>
      <c r="H9" s="12"/>
      <c r="I9" s="12"/>
      <c r="J9" s="12"/>
    </row>
    <row r="10" spans="1:14" x14ac:dyDescent="0.2">
      <c r="A10" s="4" t="s">
        <v>9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4" x14ac:dyDescent="0.2">
      <c r="A11" s="5" t="s">
        <v>7</v>
      </c>
      <c r="B11" s="12">
        <v>8277.8799999999992</v>
      </c>
      <c r="C11" s="12">
        <v>5478.11</v>
      </c>
      <c r="D11" s="12">
        <v>6508.17</v>
      </c>
      <c r="E11" s="12">
        <v>3999.28</v>
      </c>
      <c r="F11" s="12">
        <v>2853.3</v>
      </c>
      <c r="G11" s="12">
        <v>8215.73</v>
      </c>
      <c r="H11" s="12">
        <v>5621.7</v>
      </c>
      <c r="I11" s="12">
        <v>3277.73</v>
      </c>
      <c r="J11" s="12">
        <v>3105.11</v>
      </c>
      <c r="L11" s="18"/>
      <c r="N11" s="18"/>
    </row>
    <row r="12" spans="1:14" x14ac:dyDescent="0.2">
      <c r="A12" s="5" t="s">
        <v>8</v>
      </c>
      <c r="B12" s="12">
        <v>3642.28</v>
      </c>
      <c r="C12" s="12">
        <v>2978.03</v>
      </c>
      <c r="D12" s="12">
        <v>2025.56</v>
      </c>
      <c r="E12" s="12">
        <v>2033.53</v>
      </c>
      <c r="F12" s="12">
        <v>1657.39</v>
      </c>
      <c r="G12" s="12">
        <v>1462.07</v>
      </c>
      <c r="H12" s="12">
        <v>1228.04</v>
      </c>
      <c r="I12" s="12">
        <v>1158.21</v>
      </c>
      <c r="J12" s="12">
        <v>1148.1300000000001</v>
      </c>
      <c r="L12" s="18"/>
      <c r="N12" s="18"/>
    </row>
    <row r="13" spans="1:14" x14ac:dyDescent="0.2">
      <c r="A13" s="5" t="s">
        <v>24</v>
      </c>
      <c r="B13" s="12">
        <v>9695.42</v>
      </c>
      <c r="C13" s="12">
        <v>9816.48</v>
      </c>
      <c r="D13" s="12">
        <v>7596.1</v>
      </c>
      <c r="E13" s="12">
        <v>7281.42</v>
      </c>
      <c r="F13" s="12">
        <v>6389.61</v>
      </c>
      <c r="G13" s="12">
        <v>5248.75</v>
      </c>
      <c r="H13" s="12">
        <v>6830.39</v>
      </c>
      <c r="I13" s="12">
        <v>8898.4699999999993</v>
      </c>
      <c r="J13" s="12">
        <v>8289.07</v>
      </c>
      <c r="L13" s="18"/>
      <c r="N13" s="17"/>
    </row>
    <row r="14" spans="1:14" x14ac:dyDescent="0.2">
      <c r="B14" s="12"/>
      <c r="C14" s="12"/>
      <c r="D14" s="12"/>
      <c r="E14" s="12"/>
      <c r="F14" s="12"/>
      <c r="G14" s="12"/>
      <c r="H14" s="12"/>
      <c r="I14" s="12"/>
      <c r="J14" s="12"/>
    </row>
    <row r="15" spans="1:14" x14ac:dyDescent="0.2">
      <c r="A15" s="5" t="s">
        <v>32</v>
      </c>
      <c r="B15" s="12">
        <v>9757.27</v>
      </c>
      <c r="C15" s="12">
        <v>8905.77</v>
      </c>
      <c r="D15" s="12">
        <v>7045.67</v>
      </c>
      <c r="E15" s="12">
        <v>4932.2</v>
      </c>
      <c r="F15" s="12">
        <v>4781.49</v>
      </c>
      <c r="G15" s="12">
        <v>8600.94</v>
      </c>
      <c r="H15" s="12">
        <v>4414.3900000000003</v>
      </c>
      <c r="I15" s="12">
        <v>4692.55</v>
      </c>
      <c r="J15" s="12">
        <v>4570.42</v>
      </c>
      <c r="L15" s="18"/>
      <c r="N15" s="17"/>
    </row>
    <row r="16" spans="1:14" x14ac:dyDescent="0.2">
      <c r="A16" s="5" t="s">
        <v>23</v>
      </c>
      <c r="B16" s="12">
        <v>8703.35</v>
      </c>
      <c r="C16" s="12">
        <v>7947.2</v>
      </c>
      <c r="D16" s="12">
        <v>6044.57</v>
      </c>
      <c r="E16" s="12">
        <v>3933.22</v>
      </c>
      <c r="F16" s="12">
        <v>3850.77</v>
      </c>
      <c r="G16" s="12">
        <v>6658.78</v>
      </c>
      <c r="H16" s="12">
        <v>3539.55</v>
      </c>
      <c r="I16" s="12">
        <v>4049.25</v>
      </c>
      <c r="J16" s="12">
        <v>4013.85</v>
      </c>
      <c r="L16" s="18"/>
      <c r="N16" s="17"/>
    </row>
    <row r="17" spans="1:10" x14ac:dyDescent="0.2">
      <c r="A17" s="5" t="s">
        <v>25</v>
      </c>
      <c r="B17" s="27">
        <v>0.10879999999999999</v>
      </c>
      <c r="C17" s="27">
        <v>0.13039999999999999</v>
      </c>
      <c r="D17" s="27">
        <v>0.1239</v>
      </c>
      <c r="E17" s="27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0" x14ac:dyDescent="0.2"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">
      <c r="A19" s="5" t="s">
        <v>35</v>
      </c>
      <c r="B19" s="28"/>
      <c r="C19" s="12"/>
      <c r="D19" s="12"/>
      <c r="E19" s="12"/>
      <c r="F19" s="12"/>
      <c r="G19" s="12"/>
      <c r="H19" s="12"/>
      <c r="I19" s="12"/>
      <c r="J19" s="12"/>
    </row>
    <row r="20" spans="1:10" x14ac:dyDescent="0.2">
      <c r="A20" s="5" t="s">
        <v>36</v>
      </c>
      <c r="B20" s="28"/>
      <c r="C20" s="12"/>
      <c r="D20" s="12"/>
      <c r="E20" s="12"/>
      <c r="F20" s="12"/>
      <c r="G20" s="12"/>
      <c r="H20" s="12"/>
      <c r="I20" s="12"/>
      <c r="J20" s="12"/>
    </row>
    <row r="21" spans="1:10" x14ac:dyDescent="0.2">
      <c r="A21" s="5" t="s">
        <v>37</v>
      </c>
      <c r="B21" s="28"/>
      <c r="C21" s="12"/>
      <c r="D21" s="12"/>
      <c r="E21" s="12"/>
      <c r="F21" s="12"/>
      <c r="G21" s="12"/>
      <c r="H21" s="12"/>
      <c r="I21" s="12"/>
      <c r="J21" s="12"/>
    </row>
    <row r="22" spans="1:10" x14ac:dyDescent="0.2">
      <c r="A22" s="5" t="s">
        <v>38</v>
      </c>
      <c r="B22" s="28"/>
      <c r="C22" s="12"/>
      <c r="D22" s="12"/>
      <c r="E22" s="12"/>
      <c r="F22" s="12"/>
      <c r="G22" s="12"/>
      <c r="H22" s="12"/>
      <c r="I22" s="12"/>
      <c r="J22" s="12"/>
    </row>
    <row r="23" spans="1:10" x14ac:dyDescent="0.2">
      <c r="B23" s="28"/>
      <c r="C23" s="12"/>
      <c r="D23" s="12"/>
      <c r="E23" s="12"/>
      <c r="F23" s="12"/>
      <c r="G23" s="12"/>
      <c r="H23" s="12"/>
      <c r="I23" s="12"/>
      <c r="J23" s="12"/>
    </row>
    <row r="24" spans="1:10" x14ac:dyDescent="0.2">
      <c r="A24" s="5" t="s">
        <v>41</v>
      </c>
      <c r="B24" s="28">
        <v>0.55000000000000004</v>
      </c>
      <c r="C24" s="28">
        <v>0.46</v>
      </c>
      <c r="D24" s="28">
        <v>0.53</v>
      </c>
      <c r="E24" s="28">
        <v>0.45</v>
      </c>
      <c r="F24" s="28">
        <v>0.41</v>
      </c>
      <c r="G24" s="28">
        <v>0.65</v>
      </c>
      <c r="H24" s="28">
        <v>0.5</v>
      </c>
      <c r="I24" s="28">
        <v>0.33</v>
      </c>
      <c r="J24" s="28">
        <v>0.34</v>
      </c>
    </row>
    <row r="25" spans="1:10" x14ac:dyDescent="0.2">
      <c r="B25" s="28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B26" s="28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6" t="s">
        <v>0</v>
      </c>
      <c r="B27" s="28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7" t="s">
        <v>1</v>
      </c>
      <c r="B28" s="27"/>
      <c r="C28" s="27"/>
      <c r="D28" s="27"/>
      <c r="E28" s="27"/>
      <c r="F28" s="11"/>
      <c r="G28" s="11"/>
      <c r="H28" s="11"/>
      <c r="I28" s="11"/>
      <c r="J28" s="11"/>
    </row>
    <row r="29" spans="1:10" x14ac:dyDescent="0.2">
      <c r="A29" s="4" t="s">
        <v>2</v>
      </c>
      <c r="B29" s="12">
        <f>B12/B3</f>
        <v>0.16850245586634463</v>
      </c>
      <c r="C29" s="12">
        <f t="shared" ref="C29:J29" si="0">C12/C3</f>
        <v>0.16297772295379648</v>
      </c>
      <c r="D29" s="12">
        <f t="shared" si="0"/>
        <v>0.12557850888695044</v>
      </c>
      <c r="E29" s="12">
        <f t="shared" si="0"/>
        <v>0.15273369374999063</v>
      </c>
      <c r="F29" s="12">
        <f t="shared" si="0"/>
        <v>0.15204994357953452</v>
      </c>
      <c r="G29" s="12">
        <f t="shared" si="0"/>
        <v>9.7950966566286254E-2</v>
      </c>
      <c r="H29" s="12">
        <f t="shared" si="0"/>
        <v>8.9768218407440856E-2</v>
      </c>
      <c r="I29" s="12">
        <f t="shared" si="0"/>
        <v>8.6858736157055319E-2</v>
      </c>
      <c r="J29" s="12">
        <f t="shared" si="0"/>
        <v>9.1540553534396787E-2</v>
      </c>
    </row>
    <row r="30" spans="1:10" x14ac:dyDescent="0.2">
      <c r="A30" s="4" t="s">
        <v>3</v>
      </c>
      <c r="B30" s="12">
        <f>B11/B3</f>
        <v>0.38295878113898346</v>
      </c>
      <c r="C30" s="12">
        <f t="shared" ref="C30:J30" si="1">C11/C3</f>
        <v>0.2997988246896176</v>
      </c>
      <c r="D30" s="12">
        <f t="shared" si="1"/>
        <v>0.40348658355357747</v>
      </c>
      <c r="E30" s="12">
        <f t="shared" si="1"/>
        <v>0.30037658984153787</v>
      </c>
      <c r="F30" s="12">
        <f t="shared" si="1"/>
        <v>0.26176343770354948</v>
      </c>
      <c r="G30" s="12">
        <f t="shared" si="1"/>
        <v>0.55041051013127618</v>
      </c>
      <c r="H30" s="12">
        <f t="shared" si="1"/>
        <v>0.41093937772475675</v>
      </c>
      <c r="I30" s="12">
        <f t="shared" si="1"/>
        <v>0.24580990085050633</v>
      </c>
      <c r="J30" s="12">
        <f t="shared" si="1"/>
        <v>0.24757082228074415</v>
      </c>
    </row>
    <row r="31" spans="1:10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">
      <c r="A33" s="6" t="s">
        <v>14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">
      <c r="A34" s="7" t="s">
        <v>39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7" t="s">
        <v>15</v>
      </c>
      <c r="B35" s="12">
        <f t="shared" ref="B35:J35" si="2">B34/B3</f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</row>
    <row r="36" spans="1:10" x14ac:dyDescent="0.2">
      <c r="A36" s="4" t="s">
        <v>16</v>
      </c>
      <c r="B36" s="12">
        <f>B16-(B13*B17)</f>
        <v>7648.4883040000004</v>
      </c>
      <c r="C36" s="12">
        <f t="shared" ref="C36:J36" si="3">C16-(C13*C17)</f>
        <v>6667.1310080000003</v>
      </c>
      <c r="D36" s="12">
        <f t="shared" si="3"/>
        <v>5103.4132099999997</v>
      </c>
      <c r="E36" s="12">
        <f t="shared" si="3"/>
        <v>3611.3812359999997</v>
      </c>
      <c r="F36" s="12">
        <f t="shared" si="3"/>
        <v>3674.4167640000001</v>
      </c>
      <c r="G36" s="12">
        <f t="shared" si="3"/>
        <v>6345.9544999999998</v>
      </c>
      <c r="H36" s="12">
        <f t="shared" si="3"/>
        <v>3100.3559230000001</v>
      </c>
      <c r="I36" s="12">
        <f t="shared" si="3"/>
        <v>3164.7420820000002</v>
      </c>
      <c r="J36" s="12">
        <f t="shared" si="3"/>
        <v>2851.7223859999999</v>
      </c>
    </row>
    <row r="37" spans="1:10" x14ac:dyDescent="0.2">
      <c r="A37" s="5" t="s">
        <v>17</v>
      </c>
      <c r="B37" s="12">
        <v>0.40260000000000001</v>
      </c>
      <c r="C37" s="12">
        <v>0.43490000000000001</v>
      </c>
      <c r="D37" s="12">
        <v>0.38419999999999999</v>
      </c>
      <c r="E37" s="12">
        <v>0.2954</v>
      </c>
      <c r="F37" s="12">
        <v>0.3533</v>
      </c>
      <c r="G37" s="12">
        <v>0.4461</v>
      </c>
      <c r="H37" s="12">
        <v>0.25869999999999999</v>
      </c>
      <c r="I37" s="12">
        <v>0.30370000000000003</v>
      </c>
      <c r="J37" s="12">
        <v>0.32</v>
      </c>
    </row>
    <row r="38" spans="1:10" x14ac:dyDescent="0.2">
      <c r="A38" s="5" t="s">
        <v>18</v>
      </c>
      <c r="B38" s="12">
        <v>0.89770000000000005</v>
      </c>
      <c r="C38" s="12">
        <v>0.80959999999999999</v>
      </c>
      <c r="D38" s="12">
        <v>0.77100000000000002</v>
      </c>
      <c r="E38" s="12">
        <v>0.54020000000000001</v>
      </c>
      <c r="F38" s="12">
        <v>0.60270000000000001</v>
      </c>
      <c r="G38" s="12">
        <v>1.2685999999999999</v>
      </c>
      <c r="H38" s="12">
        <v>0.51819999999999999</v>
      </c>
      <c r="I38" s="12">
        <v>0.45500000000000002</v>
      </c>
      <c r="J38" s="12">
        <v>0.48420000000000002</v>
      </c>
    </row>
    <row r="39" spans="1:10" x14ac:dyDescent="0.2">
      <c r="A39" s="13" t="s">
        <v>19</v>
      </c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2">
      <c r="A40" s="5" t="s">
        <v>20</v>
      </c>
      <c r="B40" s="12">
        <v>1.2</v>
      </c>
      <c r="C40" s="12">
        <v>1.08</v>
      </c>
      <c r="D40" s="12">
        <v>1.1100000000000001</v>
      </c>
      <c r="E40" s="12">
        <v>1.28</v>
      </c>
      <c r="F40" s="12">
        <v>1.27</v>
      </c>
      <c r="G40" s="12">
        <v>1.06</v>
      </c>
      <c r="H40" s="12">
        <v>1.28</v>
      </c>
      <c r="I40" s="12">
        <v>1.52</v>
      </c>
      <c r="J40" s="12">
        <v>1.04</v>
      </c>
    </row>
    <row r="41" spans="1:10" x14ac:dyDescent="0.2">
      <c r="A41" s="4" t="s">
        <v>21</v>
      </c>
      <c r="B41" s="12">
        <f t="shared" ref="B41:J41" si="4">(B5+B4)/(B11+B12)</f>
        <v>1.0726659709265647</v>
      </c>
      <c r="C41" s="12">
        <f t="shared" si="4"/>
        <v>1.0568805625261646</v>
      </c>
      <c r="D41" s="12">
        <f t="shared" si="4"/>
        <v>1.0088202931191872</v>
      </c>
      <c r="E41" s="12">
        <f t="shared" si="4"/>
        <v>1.0230754822379622</v>
      </c>
      <c r="F41" s="12">
        <f t="shared" si="4"/>
        <v>1.0664598985964453</v>
      </c>
      <c r="G41" s="12">
        <f t="shared" si="4"/>
        <v>1.0335282812209388</v>
      </c>
      <c r="H41" s="12">
        <f t="shared" si="4"/>
        <v>1.2187601281216514</v>
      </c>
      <c r="I41" s="12">
        <f t="shared" si="4"/>
        <v>1.2839443274706148</v>
      </c>
      <c r="J41" s="12">
        <f t="shared" si="4"/>
        <v>1.0097525651033097</v>
      </c>
    </row>
    <row r="42" spans="1:10" x14ac:dyDescent="0.2"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">
      <c r="A43" s="6" t="s">
        <v>26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4" t="s">
        <v>27</v>
      </c>
      <c r="B44" s="12">
        <f>LOG10(B3)</f>
        <v>4.3347670941489822</v>
      </c>
      <c r="C44" s="12">
        <f t="shared" ref="C44:J44" si="5">LOG10(C3)</f>
        <v>4.2618008226652844</v>
      </c>
      <c r="D44" s="12">
        <f t="shared" si="5"/>
        <v>4.2076297901756332</v>
      </c>
      <c r="E44" s="12">
        <f t="shared" si="5"/>
        <v>4.1243157288208971</v>
      </c>
      <c r="F44" s="12">
        <f t="shared" si="5"/>
        <v>4.0374384508352703</v>
      </c>
      <c r="G44" s="12">
        <f t="shared" si="5"/>
        <v>4.1739594400690683</v>
      </c>
      <c r="H44" s="12">
        <f t="shared" si="5"/>
        <v>4.136089906968107</v>
      </c>
      <c r="I44" s="12">
        <f t="shared" si="5"/>
        <v>4.1249738044718676</v>
      </c>
      <c r="J44" s="12">
        <f t="shared" si="5"/>
        <v>4.0983775307421197</v>
      </c>
    </row>
    <row r="45" spans="1:10" x14ac:dyDescent="0.2">
      <c r="A45" s="4" t="s">
        <v>28</v>
      </c>
      <c r="B45" s="12">
        <f>B15-B16</f>
        <v>1053.92</v>
      </c>
      <c r="C45" s="12">
        <f t="shared" ref="C45:J45" si="6">C15-C16</f>
        <v>958.57000000000062</v>
      </c>
      <c r="D45" s="12">
        <f t="shared" si="6"/>
        <v>1001.1000000000004</v>
      </c>
      <c r="E45" s="12">
        <f t="shared" si="6"/>
        <v>998.98</v>
      </c>
      <c r="F45" s="12">
        <f t="shared" si="6"/>
        <v>930.7199999999998</v>
      </c>
      <c r="G45" s="12">
        <f t="shared" si="6"/>
        <v>1942.1600000000008</v>
      </c>
      <c r="H45" s="12">
        <f t="shared" si="6"/>
        <v>874.84000000000015</v>
      </c>
      <c r="I45" s="12">
        <f t="shared" si="6"/>
        <v>643.30000000000018</v>
      </c>
      <c r="J45" s="12">
        <f t="shared" si="6"/>
        <v>556.57000000000016</v>
      </c>
    </row>
    <row r="46" spans="1:10" x14ac:dyDescent="0.2">
      <c r="A46" s="4" t="s">
        <v>29</v>
      </c>
      <c r="B46" s="12">
        <f>(B6+B7)/B3</f>
        <v>0.40833768590170333</v>
      </c>
      <c r="C46" s="12">
        <f t="shared" ref="C46:J46" si="7">(C6+C7)/C3</f>
        <v>0.51070454045451608</v>
      </c>
      <c r="D46" s="12">
        <f t="shared" si="7"/>
        <v>0.46601917069181759</v>
      </c>
      <c r="E46" s="12">
        <f t="shared" si="7"/>
        <v>0.53606144408008882</v>
      </c>
      <c r="F46" s="12">
        <f t="shared" si="7"/>
        <v>0.55818188490225051</v>
      </c>
      <c r="G46" s="12">
        <f t="shared" si="7"/>
        <v>0.32950480854584618</v>
      </c>
      <c r="H46" s="12">
        <f t="shared" si="7"/>
        <v>0.38934746186436958</v>
      </c>
      <c r="I46" s="12">
        <f t="shared" si="7"/>
        <v>0.57245577419623361</v>
      </c>
      <c r="J46" s="12">
        <f t="shared" si="7"/>
        <v>0.65727924122430392</v>
      </c>
    </row>
    <row r="47" spans="1:10" x14ac:dyDescent="0.2">
      <c r="A47" s="7" t="s">
        <v>30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">
      <c r="A48" s="7" t="s">
        <v>31</v>
      </c>
      <c r="B48" s="12">
        <f t="shared" ref="B48:J48" si="8">(B3-B13+B34)/B3</f>
        <v>0.55146169963438429</v>
      </c>
      <c r="C48" s="12">
        <f t="shared" si="8"/>
        <v>0.46277654764341403</v>
      </c>
      <c r="D48" s="12">
        <f t="shared" si="8"/>
        <v>0.52906509244052791</v>
      </c>
      <c r="E48" s="12">
        <f t="shared" si="8"/>
        <v>0.45310953251486003</v>
      </c>
      <c r="F48" s="12">
        <f t="shared" si="8"/>
        <v>0.41381338128308393</v>
      </c>
      <c r="G48" s="12">
        <f t="shared" si="8"/>
        <v>0.64836147669756239</v>
      </c>
      <c r="H48" s="12">
        <f t="shared" si="8"/>
        <v>0.50070686514445784</v>
      </c>
      <c r="I48" s="12">
        <f t="shared" si="8"/>
        <v>0.33266863700756166</v>
      </c>
      <c r="J48" s="12">
        <f t="shared" si="8"/>
        <v>0.33911137581514089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9FE-6E50-9140-88F6-E43CABFB5835}">
  <dimension ref="A1:L48"/>
  <sheetViews>
    <sheetView workbookViewId="0">
      <selection activeCell="A24" sqref="A24:J48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2" x14ac:dyDescent="0.2">
      <c r="A1" s="4" t="s">
        <v>12</v>
      </c>
      <c r="B1" s="9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2" x14ac:dyDescent="0.2">
      <c r="A2" s="4" t="s">
        <v>13</v>
      </c>
      <c r="B2" s="9"/>
      <c r="C2" s="10"/>
      <c r="E2" s="10"/>
      <c r="G2" s="10"/>
      <c r="I2" s="10"/>
    </row>
    <row r="3" spans="1:12" ht="18" x14ac:dyDescent="0.2">
      <c r="A3" s="5" t="s">
        <v>4</v>
      </c>
      <c r="B3" s="31"/>
      <c r="C3" s="12">
        <v>2989.06</v>
      </c>
      <c r="D3" s="12">
        <v>3383.68</v>
      </c>
      <c r="E3" s="12">
        <v>3076.63</v>
      </c>
      <c r="F3" s="12">
        <v>3036.53</v>
      </c>
      <c r="G3" s="12">
        <v>3321.81</v>
      </c>
      <c r="H3" s="12">
        <v>3162.08</v>
      </c>
      <c r="I3" s="12">
        <v>3141.18</v>
      </c>
      <c r="J3" s="12">
        <v>3247.53</v>
      </c>
      <c r="L3" s="2"/>
    </row>
    <row r="4" spans="1:12" ht="18" x14ac:dyDescent="0.2">
      <c r="A4" s="5" t="s">
        <v>22</v>
      </c>
      <c r="B4" s="31"/>
      <c r="C4" s="12">
        <v>111.05</v>
      </c>
      <c r="D4" s="12">
        <v>142.63</v>
      </c>
      <c r="E4" s="12">
        <v>133.38999999999999</v>
      </c>
      <c r="F4" s="12">
        <v>102.16</v>
      </c>
      <c r="G4" s="12">
        <v>252.52</v>
      </c>
      <c r="H4" s="12">
        <v>234.97</v>
      </c>
      <c r="I4" s="12">
        <v>309.33</v>
      </c>
      <c r="J4" s="12">
        <v>469.76</v>
      </c>
      <c r="L4" s="2"/>
    </row>
    <row r="5" spans="1:12" ht="18" x14ac:dyDescent="0.2">
      <c r="A5" s="5" t="s">
        <v>5</v>
      </c>
      <c r="B5" s="31"/>
      <c r="C5" s="12">
        <v>1695.77</v>
      </c>
      <c r="D5" s="12">
        <v>2042.52</v>
      </c>
      <c r="E5" s="12">
        <v>1801.88</v>
      </c>
      <c r="F5" s="12">
        <v>1835.79</v>
      </c>
      <c r="G5" s="12">
        <v>2038.88</v>
      </c>
      <c r="H5" s="12">
        <v>1939.47</v>
      </c>
      <c r="I5" s="12">
        <v>1880.71</v>
      </c>
      <c r="J5" s="12">
        <v>1855.66</v>
      </c>
      <c r="L5" s="2"/>
    </row>
    <row r="6" spans="1:12" ht="18" x14ac:dyDescent="0.2">
      <c r="A6" s="5" t="s">
        <v>33</v>
      </c>
      <c r="C6" s="12">
        <v>1.05</v>
      </c>
      <c r="D6" s="12">
        <v>1.59</v>
      </c>
      <c r="E6" s="12">
        <v>2.0499999999999998</v>
      </c>
      <c r="F6" s="12">
        <v>2.14</v>
      </c>
      <c r="G6" s="12">
        <v>2.33</v>
      </c>
      <c r="H6" s="12">
        <v>1.73</v>
      </c>
      <c r="I6" s="12">
        <v>1.92</v>
      </c>
      <c r="J6" s="12">
        <v>2.0099999999999998</v>
      </c>
      <c r="L6" s="2"/>
    </row>
    <row r="7" spans="1:12" ht="18" x14ac:dyDescent="0.2">
      <c r="A7" s="5" t="s">
        <v>34</v>
      </c>
      <c r="B7" s="31"/>
      <c r="C7" s="12">
        <v>1179.32</v>
      </c>
      <c r="D7" s="12">
        <v>1187.2</v>
      </c>
      <c r="E7" s="12">
        <v>1138.21</v>
      </c>
      <c r="F7" s="12">
        <v>1095.01</v>
      </c>
      <c r="G7" s="12">
        <v>1025.8599999999999</v>
      </c>
      <c r="H7" s="12">
        <v>982.9</v>
      </c>
      <c r="I7" s="12">
        <v>945.31</v>
      </c>
      <c r="J7" s="12">
        <v>918.96</v>
      </c>
      <c r="L7" s="2"/>
    </row>
    <row r="8" spans="1:12" x14ac:dyDescent="0.2">
      <c r="A8" s="4" t="s">
        <v>6</v>
      </c>
      <c r="B8" s="9"/>
      <c r="C8" s="12"/>
      <c r="D8" s="12"/>
      <c r="E8" s="12"/>
      <c r="F8" s="12"/>
      <c r="G8" s="12"/>
      <c r="H8" s="12"/>
      <c r="I8" s="12"/>
      <c r="J8" s="12"/>
    </row>
    <row r="9" spans="1:12" x14ac:dyDescent="0.2">
      <c r="B9" s="11"/>
      <c r="C9" s="12"/>
      <c r="D9" s="12"/>
      <c r="E9" s="12"/>
      <c r="F9" s="12"/>
      <c r="G9" s="12"/>
      <c r="H9" s="12"/>
      <c r="I9" s="12"/>
      <c r="J9" s="12"/>
    </row>
    <row r="10" spans="1:12" x14ac:dyDescent="0.2">
      <c r="A10" s="4" t="s">
        <v>9</v>
      </c>
      <c r="B10" s="11"/>
      <c r="C10" s="12"/>
      <c r="D10" s="12"/>
      <c r="E10" s="12"/>
      <c r="F10" s="12"/>
      <c r="G10" s="12"/>
      <c r="H10" s="12"/>
      <c r="I10" s="12"/>
      <c r="J10" s="12"/>
    </row>
    <row r="11" spans="1:12" ht="18" x14ac:dyDescent="0.2">
      <c r="A11" s="5" t="s">
        <v>7</v>
      </c>
      <c r="B11" s="11"/>
      <c r="C11" s="12">
        <v>553.88</v>
      </c>
      <c r="D11" s="12">
        <v>875.45</v>
      </c>
      <c r="E11" s="12">
        <v>643.65</v>
      </c>
      <c r="F11" s="12">
        <v>541.82000000000005</v>
      </c>
      <c r="G11" s="12">
        <v>810.41</v>
      </c>
      <c r="H11" s="12">
        <v>1324.32</v>
      </c>
      <c r="I11" s="12">
        <v>1293.23</v>
      </c>
      <c r="J11" s="12">
        <v>1282.72</v>
      </c>
      <c r="L11" s="2"/>
    </row>
    <row r="12" spans="1:12" ht="18" x14ac:dyDescent="0.2">
      <c r="A12" s="5" t="s">
        <v>8</v>
      </c>
      <c r="B12" s="11"/>
      <c r="C12" s="12">
        <v>552.97</v>
      </c>
      <c r="D12" s="12">
        <v>688.08</v>
      </c>
      <c r="E12" s="12">
        <v>663.08</v>
      </c>
      <c r="F12" s="12">
        <v>686.26</v>
      </c>
      <c r="G12" s="12">
        <v>751.31</v>
      </c>
      <c r="H12" s="12">
        <v>150.44</v>
      </c>
      <c r="I12" s="12">
        <v>250.71</v>
      </c>
      <c r="J12" s="12">
        <v>422.79</v>
      </c>
      <c r="L12" s="16"/>
    </row>
    <row r="13" spans="1:12" ht="18" x14ac:dyDescent="0.2">
      <c r="A13" s="5" t="s">
        <v>24</v>
      </c>
      <c r="B13" s="11"/>
      <c r="C13" s="12">
        <v>1882.21</v>
      </c>
      <c r="D13" s="12">
        <v>1820.15</v>
      </c>
      <c r="E13" s="12">
        <v>1769.91</v>
      </c>
      <c r="F13" s="12">
        <v>1808.45</v>
      </c>
      <c r="G13" s="12">
        <v>1760.09</v>
      </c>
      <c r="H13" s="12">
        <v>1687.32</v>
      </c>
      <c r="I13" s="12">
        <v>1597.24</v>
      </c>
      <c r="J13" s="12">
        <v>1542.02</v>
      </c>
      <c r="L13" s="2"/>
    </row>
    <row r="14" spans="1:12" x14ac:dyDescent="0.2">
      <c r="B14" s="11"/>
      <c r="C14" s="12"/>
      <c r="D14" s="12"/>
      <c r="E14" s="12"/>
      <c r="F14" s="12"/>
      <c r="G14" s="12"/>
      <c r="H14" s="12"/>
      <c r="I14" s="12"/>
      <c r="J14" s="12"/>
    </row>
    <row r="15" spans="1:12" ht="18" x14ac:dyDescent="0.2">
      <c r="A15" s="5" t="s">
        <v>32</v>
      </c>
      <c r="C15" s="12">
        <v>-15.95</v>
      </c>
      <c r="D15" s="12">
        <v>83.67</v>
      </c>
      <c r="E15" s="12">
        <v>-22.48</v>
      </c>
      <c r="F15" s="12">
        <v>47.8</v>
      </c>
      <c r="G15" s="12">
        <v>14.65</v>
      </c>
      <c r="H15" s="12" t="s">
        <v>40</v>
      </c>
      <c r="I15" s="12" t="s">
        <v>40</v>
      </c>
      <c r="J15" s="12" t="s">
        <v>40</v>
      </c>
      <c r="L15" s="20"/>
    </row>
    <row r="16" spans="1:12" ht="18" x14ac:dyDescent="0.2">
      <c r="A16" s="5" t="s">
        <v>23</v>
      </c>
      <c r="C16" s="12">
        <v>49.11</v>
      </c>
      <c r="D16" s="12">
        <v>126.89</v>
      </c>
      <c r="E16" s="12">
        <v>23.65</v>
      </c>
      <c r="F16" s="12">
        <v>63.81</v>
      </c>
      <c r="G16" s="12">
        <v>76.319999999999993</v>
      </c>
      <c r="H16" s="12">
        <v>83.7</v>
      </c>
      <c r="I16" s="12">
        <v>84.6</v>
      </c>
      <c r="J16" s="12">
        <v>95.28</v>
      </c>
      <c r="L16" s="16"/>
    </row>
    <row r="17" spans="1:10" x14ac:dyDescent="0.2">
      <c r="A17" s="5" t="s">
        <v>25</v>
      </c>
      <c r="B17" s="27">
        <v>0.10879999999999999</v>
      </c>
      <c r="C17" s="27">
        <v>0.13039999999999999</v>
      </c>
      <c r="D17" s="27">
        <v>0.1239</v>
      </c>
      <c r="E17" s="27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0" x14ac:dyDescent="0.2">
      <c r="B18" s="11"/>
      <c r="D18" s="11"/>
      <c r="F18" s="11"/>
      <c r="H18" s="11"/>
      <c r="J18" s="11"/>
    </row>
    <row r="19" spans="1:10" x14ac:dyDescent="0.2">
      <c r="A19" s="5" t="s">
        <v>35</v>
      </c>
      <c r="D19" s="11"/>
      <c r="F19" s="11"/>
      <c r="H19" s="11"/>
      <c r="J19" s="11"/>
    </row>
    <row r="20" spans="1:10" x14ac:dyDescent="0.2">
      <c r="A20" s="5" t="s">
        <v>36</v>
      </c>
      <c r="D20" s="11"/>
      <c r="F20" s="11"/>
      <c r="H20" s="11"/>
      <c r="J20" s="11"/>
    </row>
    <row r="21" spans="1:10" x14ac:dyDescent="0.2">
      <c r="A21" s="5" t="s">
        <v>37</v>
      </c>
      <c r="D21" s="11"/>
      <c r="F21" s="11"/>
      <c r="H21" s="11"/>
      <c r="J21" s="11"/>
    </row>
    <row r="22" spans="1:10" x14ac:dyDescent="0.2">
      <c r="A22" s="5" t="s">
        <v>38</v>
      </c>
      <c r="D22" s="11"/>
      <c r="F22" s="11"/>
      <c r="H22" s="11"/>
      <c r="J22" s="11"/>
    </row>
    <row r="23" spans="1:10" x14ac:dyDescent="0.2">
      <c r="D23" s="11"/>
      <c r="F23" s="11"/>
      <c r="H23" s="11"/>
      <c r="J23" s="11"/>
    </row>
    <row r="24" spans="1:10" x14ac:dyDescent="0.2">
      <c r="A24" s="5" t="s">
        <v>41</v>
      </c>
      <c r="B24" s="12">
        <v>0.37</v>
      </c>
      <c r="C24" s="12">
        <v>0.37</v>
      </c>
      <c r="D24" s="12">
        <v>0.46</v>
      </c>
      <c r="E24" s="12">
        <v>0.42</v>
      </c>
      <c r="F24" s="12">
        <v>0.4</v>
      </c>
      <c r="G24" s="12">
        <v>0.47</v>
      </c>
      <c r="H24" s="12">
        <v>0.47</v>
      </c>
      <c r="I24" s="12">
        <v>0.49</v>
      </c>
      <c r="J24" s="12">
        <v>0.53</v>
      </c>
    </row>
    <row r="25" spans="1:10" x14ac:dyDescent="0.2"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6" t="s">
        <v>0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7" t="s">
        <v>1</v>
      </c>
      <c r="B28" s="12" t="e">
        <f>B2/B3</f>
        <v>#DIV/0!</v>
      </c>
      <c r="C28" s="12">
        <f t="shared" ref="C28:J28" si="0">C2/C3</f>
        <v>0</v>
      </c>
      <c r="D28" s="12">
        <f t="shared" si="0"/>
        <v>0</v>
      </c>
      <c r="E28" s="12">
        <f t="shared" si="0"/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  <c r="I28" s="12">
        <f t="shared" si="0"/>
        <v>0</v>
      </c>
      <c r="J28" s="12">
        <f t="shared" si="0"/>
        <v>0</v>
      </c>
    </row>
    <row r="29" spans="1:10" x14ac:dyDescent="0.2">
      <c r="A29" s="4" t="s">
        <v>2</v>
      </c>
      <c r="B29" s="12" t="e">
        <f>B12/B3</f>
        <v>#DIV/0!</v>
      </c>
      <c r="C29" s="12">
        <f t="shared" ref="C29:J29" si="1">C12/C3</f>
        <v>0.18499795922463919</v>
      </c>
      <c r="D29" s="12">
        <f t="shared" si="1"/>
        <v>0.20335256289010784</v>
      </c>
      <c r="E29" s="12">
        <f t="shared" si="1"/>
        <v>0.21552152842558253</v>
      </c>
      <c r="F29" s="12">
        <f t="shared" si="1"/>
        <v>0.2260013897442146</v>
      </c>
      <c r="G29" s="12">
        <f t="shared" si="1"/>
        <v>0.22617488658291712</v>
      </c>
      <c r="H29" s="12">
        <f t="shared" si="1"/>
        <v>4.7576278905024541E-2</v>
      </c>
      <c r="I29" s="12">
        <f t="shared" si="1"/>
        <v>7.9813955265218811E-2</v>
      </c>
      <c r="J29" s="12">
        <f t="shared" si="1"/>
        <v>0.13018817378130457</v>
      </c>
    </row>
    <row r="30" spans="1:10" x14ac:dyDescent="0.2">
      <c r="A30" s="4" t="s">
        <v>3</v>
      </c>
      <c r="B30" s="12" t="e">
        <f>B11/B3</f>
        <v>#DIV/0!</v>
      </c>
      <c r="C30" s="12">
        <f t="shared" ref="C30:J30" si="2">C11/C3</f>
        <v>0.18530240276207235</v>
      </c>
      <c r="D30" s="12">
        <f t="shared" si="2"/>
        <v>0.25872718460374505</v>
      </c>
      <c r="E30" s="12">
        <f t="shared" si="2"/>
        <v>0.20920617688834861</v>
      </c>
      <c r="F30" s="12">
        <f t="shared" si="2"/>
        <v>0.17843393610469846</v>
      </c>
      <c r="G30" s="12">
        <f t="shared" si="2"/>
        <v>0.24396639181650967</v>
      </c>
      <c r="H30" s="12">
        <f t="shared" si="2"/>
        <v>0.41881293325912056</v>
      </c>
      <c r="I30" s="12">
        <f t="shared" si="2"/>
        <v>0.41170197187044361</v>
      </c>
      <c r="J30" s="12">
        <f t="shared" si="2"/>
        <v>0.39498326420387186</v>
      </c>
    </row>
    <row r="31" spans="1:10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">
      <c r="A33" s="6" t="s">
        <v>14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">
      <c r="A34" s="7" t="s">
        <v>39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7" t="s">
        <v>15</v>
      </c>
      <c r="B35" s="12" t="e">
        <f>B34/B3</f>
        <v>#DIV/0!</v>
      </c>
      <c r="C35" s="12">
        <f t="shared" ref="C35:J35" si="3">C34/C3</f>
        <v>0</v>
      </c>
      <c r="D35" s="12">
        <f t="shared" si="3"/>
        <v>0</v>
      </c>
      <c r="E35" s="12">
        <f t="shared" si="3"/>
        <v>0</v>
      </c>
      <c r="F35" s="12">
        <f t="shared" si="3"/>
        <v>0</v>
      </c>
      <c r="G35" s="12">
        <f t="shared" si="3"/>
        <v>0</v>
      </c>
      <c r="H35" s="12">
        <f t="shared" si="3"/>
        <v>0</v>
      </c>
      <c r="I35" s="12">
        <f t="shared" si="3"/>
        <v>0</v>
      </c>
      <c r="J35" s="12">
        <f t="shared" si="3"/>
        <v>0</v>
      </c>
    </row>
    <row r="36" spans="1:10" x14ac:dyDescent="0.2">
      <c r="A36" s="4" t="s">
        <v>16</v>
      </c>
      <c r="B36" s="12">
        <f>B16-(B13*B17)</f>
        <v>0</v>
      </c>
      <c r="C36" s="12">
        <f t="shared" ref="C36:I36" si="4">C16-(C13*C17)</f>
        <v>-196.33018399999997</v>
      </c>
      <c r="D36" s="12">
        <f t="shared" si="4"/>
        <v>-98.626584999999992</v>
      </c>
      <c r="E36" s="12">
        <f t="shared" si="4"/>
        <v>-54.580022000000007</v>
      </c>
      <c r="F36" s="12">
        <f t="shared" si="4"/>
        <v>13.89678</v>
      </c>
      <c r="G36" s="12">
        <f t="shared" si="4"/>
        <v>-28.581364000000008</v>
      </c>
      <c r="H36" s="12">
        <f t="shared" si="4"/>
        <v>-24.794675999999981</v>
      </c>
      <c r="I36" s="12">
        <f t="shared" si="4"/>
        <v>-74.165656000000013</v>
      </c>
      <c r="J36" s="12">
        <f>J16-(J13*J17)</f>
        <v>-120.91120399999997</v>
      </c>
    </row>
    <row r="37" spans="1:10" x14ac:dyDescent="0.2">
      <c r="A37" s="5" t="s">
        <v>17</v>
      </c>
      <c r="B37" s="12">
        <v>9.7999999999999997E-3</v>
      </c>
      <c r="C37" s="12">
        <v>9.7999999999999997E-3</v>
      </c>
      <c r="D37" s="12">
        <v>2.4799999999999999E-2</v>
      </c>
      <c r="E37" s="12">
        <v>7.0000000000000001E-3</v>
      </c>
      <c r="F37" s="12">
        <v>1.35E-2</v>
      </c>
      <c r="G37" s="12">
        <v>1.5100000000000001E-2</v>
      </c>
      <c r="H37" s="12">
        <v>1.6799999999999999E-2</v>
      </c>
      <c r="I37" s="12">
        <v>1.6299999999999999E-2</v>
      </c>
      <c r="J37" s="12">
        <v>1.8800000000000001E-2</v>
      </c>
    </row>
    <row r="38" spans="1:10" x14ac:dyDescent="0.2">
      <c r="A38" s="5" t="s">
        <v>18</v>
      </c>
      <c r="B38" s="12">
        <v>1.5599999999999999E-2</v>
      </c>
      <c r="C38" s="12">
        <v>1.5599999999999999E-2</v>
      </c>
      <c r="D38" s="12">
        <v>6.5100000000000005E-2</v>
      </c>
      <c r="E38" s="12">
        <v>1.72E-2</v>
      </c>
      <c r="F38" s="12">
        <v>3.3300000000000003E-2</v>
      </c>
      <c r="G38" s="12">
        <v>4.2099999999999999E-2</v>
      </c>
      <c r="H38" s="12">
        <v>4.6300000000000001E-2</v>
      </c>
      <c r="I38" s="12">
        <v>4.6899999999999997E-2</v>
      </c>
      <c r="J38" s="12">
        <v>5.8599999999999999E-2</v>
      </c>
    </row>
    <row r="39" spans="1:10" x14ac:dyDescent="0.2">
      <c r="A39" s="13" t="s">
        <v>19</v>
      </c>
      <c r="B39" s="12">
        <v>8.2467000000000006</v>
      </c>
      <c r="C39" s="12">
        <v>8.2467000000000006</v>
      </c>
      <c r="D39" s="12">
        <v>22.0762</v>
      </c>
      <c r="E39" s="12">
        <v>4.9414999999999996</v>
      </c>
      <c r="F39" s="12">
        <v>1.6027</v>
      </c>
      <c r="G39" s="12">
        <v>1.7443</v>
      </c>
      <c r="H39" s="12">
        <v>2.0394999999999999</v>
      </c>
      <c r="I39" s="12">
        <v>2.0236999999999998</v>
      </c>
      <c r="J39" s="12">
        <v>2.0021</v>
      </c>
    </row>
    <row r="40" spans="1:10" x14ac:dyDescent="0.2">
      <c r="A40" s="5" t="s">
        <v>20</v>
      </c>
      <c r="B40" s="12">
        <v>3.06</v>
      </c>
      <c r="C40" s="12">
        <v>3.06</v>
      </c>
      <c r="D40" s="12">
        <v>2.33</v>
      </c>
      <c r="E40" s="12">
        <v>2.8</v>
      </c>
      <c r="F40" s="12">
        <v>3.39</v>
      </c>
      <c r="G40" s="12">
        <v>2.52</v>
      </c>
      <c r="H40" s="12">
        <v>1.46</v>
      </c>
      <c r="I40" s="12">
        <v>1.45</v>
      </c>
      <c r="J40" s="12">
        <v>1.45</v>
      </c>
    </row>
    <row r="41" spans="1:10" x14ac:dyDescent="0.2">
      <c r="A41" s="4" t="s">
        <v>21</v>
      </c>
      <c r="B41" s="12" t="e">
        <f>(B5+B4)/(B11+B12)</f>
        <v>#DIV/0!</v>
      </c>
      <c r="C41" s="12">
        <f t="shared" ref="C41:J41" si="5">(C5+C4)/(C11+C12)</f>
        <v>1.6323982472783125</v>
      </c>
      <c r="D41" s="12">
        <f t="shared" si="5"/>
        <v>1.3975747187454028</v>
      </c>
      <c r="E41" s="12">
        <f t="shared" si="5"/>
        <v>1.4810021963221169</v>
      </c>
      <c r="F41" s="12">
        <f t="shared" si="5"/>
        <v>1.5780323757409942</v>
      </c>
      <c r="G41" s="12">
        <f t="shared" si="5"/>
        <v>1.4672284404374667</v>
      </c>
      <c r="H41" s="12">
        <f t="shared" si="5"/>
        <v>1.4744365184843635</v>
      </c>
      <c r="I41" s="12">
        <f t="shared" si="5"/>
        <v>1.4184748111973262</v>
      </c>
      <c r="J41" s="12">
        <f t="shared" si="5"/>
        <v>1.3634748550287012</v>
      </c>
    </row>
    <row r="42" spans="1:10" x14ac:dyDescent="0.2"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">
      <c r="A43" s="6" t="s">
        <v>26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4" t="s">
        <v>27</v>
      </c>
      <c r="B44" s="12" t="e">
        <f>LOG10(B3)</f>
        <v>#NUM!</v>
      </c>
      <c r="C44" s="12">
        <f t="shared" ref="C44:J44" si="6">LOG10(C3)</f>
        <v>3.4755346328068892</v>
      </c>
      <c r="D44" s="12">
        <f t="shared" si="6"/>
        <v>3.5293892843889987</v>
      </c>
      <c r="E44" s="12">
        <f t="shared" si="6"/>
        <v>3.4880752705015174</v>
      </c>
      <c r="F44" s="12">
        <f t="shared" si="6"/>
        <v>3.4823775761781923</v>
      </c>
      <c r="G44" s="12">
        <f t="shared" si="6"/>
        <v>3.5213747881661344</v>
      </c>
      <c r="H44" s="12">
        <f t="shared" si="6"/>
        <v>3.4999728532998735</v>
      </c>
      <c r="I44" s="12">
        <f t="shared" si="6"/>
        <v>3.4970928236213363</v>
      </c>
      <c r="J44" s="12">
        <f t="shared" si="6"/>
        <v>3.5115531716847972</v>
      </c>
    </row>
    <row r="45" spans="1:10" x14ac:dyDescent="0.2">
      <c r="A45" s="4" t="s">
        <v>28</v>
      </c>
      <c r="B45" s="12">
        <f>B15-B16</f>
        <v>0</v>
      </c>
      <c r="C45" s="12">
        <f t="shared" ref="C45:J45" si="7">C15-C16</f>
        <v>-65.06</v>
      </c>
      <c r="D45" s="12">
        <f t="shared" si="7"/>
        <v>-43.22</v>
      </c>
      <c r="E45" s="12">
        <f t="shared" si="7"/>
        <v>-46.129999999999995</v>
      </c>
      <c r="F45" s="12">
        <f t="shared" si="7"/>
        <v>-16.010000000000005</v>
      </c>
      <c r="G45" s="12">
        <f t="shared" si="7"/>
        <v>-61.669999999999995</v>
      </c>
      <c r="H45" s="12" t="e">
        <f t="shared" si="7"/>
        <v>#VALUE!</v>
      </c>
      <c r="I45" s="12" t="e">
        <f t="shared" si="7"/>
        <v>#VALUE!</v>
      </c>
      <c r="J45" s="12" t="e">
        <f t="shared" si="7"/>
        <v>#VALUE!</v>
      </c>
    </row>
    <row r="46" spans="1:10" x14ac:dyDescent="0.2">
      <c r="A46" s="4" t="s">
        <v>29</v>
      </c>
      <c r="B46" s="12" t="e">
        <f>(B6+B7)/B3</f>
        <v>#DIV/0!</v>
      </c>
      <c r="C46" s="12">
        <f t="shared" ref="C46:J46" si="8">(C6+C7)/C3</f>
        <v>0.39489672338460918</v>
      </c>
      <c r="D46" s="12">
        <f t="shared" si="8"/>
        <v>0.3513305040665784</v>
      </c>
      <c r="E46" s="12">
        <f t="shared" si="8"/>
        <v>0.3706198015360963</v>
      </c>
      <c r="F46" s="12">
        <f t="shared" si="8"/>
        <v>0.36131702963580142</v>
      </c>
      <c r="G46" s="12">
        <f t="shared" si="8"/>
        <v>0.30952703495985617</v>
      </c>
      <c r="H46" s="12">
        <f t="shared" si="8"/>
        <v>0.31138680868289226</v>
      </c>
      <c r="I46" s="12">
        <f t="shared" si="8"/>
        <v>0.30155228290005665</v>
      </c>
      <c r="J46" s="12">
        <f t="shared" si="8"/>
        <v>0.28359091370980405</v>
      </c>
    </row>
    <row r="47" spans="1:10" x14ac:dyDescent="0.2">
      <c r="A47" s="7" t="s">
        <v>30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">
      <c r="A48" s="7" t="s">
        <v>31</v>
      </c>
      <c r="B48" s="12" t="e">
        <f>(B3-B13+B34)/B3</f>
        <v>#DIV/0!</v>
      </c>
      <c r="C48" s="12">
        <f t="shared" ref="C48:J48" si="9">(C3-C13+C34)/C3</f>
        <v>0.37030036198671151</v>
      </c>
      <c r="D48" s="12">
        <f t="shared" si="9"/>
        <v>0.46207974749385278</v>
      </c>
      <c r="E48" s="12">
        <f t="shared" si="9"/>
        <v>0.42472445500433914</v>
      </c>
      <c r="F48" s="12">
        <f t="shared" si="9"/>
        <v>0.40443532584891312</v>
      </c>
      <c r="G48" s="12">
        <f t="shared" si="9"/>
        <v>0.47014127839942682</v>
      </c>
      <c r="H48" s="12">
        <f t="shared" si="9"/>
        <v>0.46638921216414514</v>
      </c>
      <c r="I48" s="12">
        <f t="shared" si="9"/>
        <v>0.49151592713566239</v>
      </c>
      <c r="J48" s="12">
        <f t="shared" si="9"/>
        <v>0.52517143798517651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A5AC-B386-BF45-BFA4-068953500755}">
  <dimension ref="A1:Q48"/>
  <sheetViews>
    <sheetView topLeftCell="A6" workbookViewId="0">
      <selection activeCell="J48" sqref="A24:J48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7" x14ac:dyDescent="0.2">
      <c r="A1" s="4" t="s">
        <v>12</v>
      </c>
      <c r="B1" s="9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7" x14ac:dyDescent="0.2">
      <c r="A2" s="4" t="s">
        <v>13</v>
      </c>
      <c r="B2" s="9"/>
      <c r="C2" s="10"/>
      <c r="E2" s="10"/>
      <c r="G2" s="10"/>
      <c r="I2" s="10"/>
    </row>
    <row r="3" spans="1:17" ht="18" x14ac:dyDescent="0.2">
      <c r="A3" s="5" t="s">
        <v>4</v>
      </c>
      <c r="B3" s="31"/>
      <c r="C3" s="26"/>
      <c r="D3" s="26">
        <v>390.89</v>
      </c>
      <c r="E3" s="26">
        <v>375.06</v>
      </c>
      <c r="F3" s="26">
        <v>401.98</v>
      </c>
      <c r="G3" s="26">
        <v>473.86</v>
      </c>
      <c r="H3" s="26">
        <v>478.63</v>
      </c>
      <c r="I3" s="26">
        <v>491.1</v>
      </c>
      <c r="J3" s="26">
        <v>515.32000000000005</v>
      </c>
      <c r="K3" s="1"/>
      <c r="L3" s="2"/>
      <c r="M3" s="1"/>
      <c r="N3" s="2"/>
      <c r="O3" s="1"/>
      <c r="P3" s="16"/>
      <c r="Q3" s="1"/>
    </row>
    <row r="4" spans="1:17" ht="18" x14ac:dyDescent="0.2">
      <c r="A4" s="5" t="s">
        <v>22</v>
      </c>
      <c r="B4" s="31"/>
      <c r="C4" s="26"/>
      <c r="D4" s="26">
        <v>157.19999999999999</v>
      </c>
      <c r="E4" s="26">
        <v>151.9</v>
      </c>
      <c r="F4" s="26">
        <v>186.67</v>
      </c>
      <c r="G4" s="26">
        <v>159.12</v>
      </c>
      <c r="H4" s="26">
        <v>144.16</v>
      </c>
      <c r="I4" s="26">
        <v>147.76</v>
      </c>
      <c r="J4" s="26">
        <v>148.66999999999999</v>
      </c>
      <c r="K4" s="1"/>
      <c r="L4" s="2"/>
      <c r="M4" s="1"/>
      <c r="N4" s="16"/>
      <c r="O4" s="1"/>
      <c r="P4" s="16"/>
      <c r="Q4" s="1"/>
    </row>
    <row r="5" spans="1:17" ht="18" x14ac:dyDescent="0.2">
      <c r="A5" s="5" t="s">
        <v>5</v>
      </c>
      <c r="B5" s="31"/>
      <c r="C5" s="26"/>
      <c r="D5" s="26">
        <v>73.7</v>
      </c>
      <c r="E5" s="26">
        <v>93.34</v>
      </c>
      <c r="F5" s="26">
        <v>73.760000000000005</v>
      </c>
      <c r="G5" s="26">
        <v>182.47</v>
      </c>
      <c r="H5" s="26">
        <v>216.75</v>
      </c>
      <c r="I5" s="26">
        <v>229.68</v>
      </c>
      <c r="J5" s="26">
        <v>239.51</v>
      </c>
      <c r="K5" s="1"/>
      <c r="L5" s="2"/>
      <c r="M5" s="1"/>
      <c r="N5" s="2"/>
      <c r="O5" s="1"/>
      <c r="P5" s="2"/>
      <c r="Q5" s="1"/>
    </row>
    <row r="6" spans="1:17" ht="18" x14ac:dyDescent="0.2">
      <c r="A6" s="5" t="s">
        <v>33</v>
      </c>
      <c r="C6" s="26"/>
      <c r="D6" s="26">
        <v>2.88</v>
      </c>
      <c r="E6" s="26">
        <v>4.5</v>
      </c>
      <c r="F6" s="26">
        <v>4.63</v>
      </c>
      <c r="G6" s="26">
        <v>5.13</v>
      </c>
      <c r="H6" s="26">
        <v>4.5199999999999996</v>
      </c>
      <c r="I6" s="26">
        <v>4.42</v>
      </c>
      <c r="J6" s="26">
        <v>4.6399999999999997</v>
      </c>
      <c r="K6" s="1"/>
      <c r="L6" s="2"/>
      <c r="M6" s="1"/>
      <c r="N6" s="16"/>
      <c r="O6" s="1"/>
      <c r="P6" s="16"/>
      <c r="Q6" s="1"/>
    </row>
    <row r="7" spans="1:17" ht="18" x14ac:dyDescent="0.2">
      <c r="A7" s="5" t="s">
        <v>34</v>
      </c>
      <c r="B7" s="31"/>
      <c r="C7" s="26"/>
      <c r="D7" s="26">
        <v>151.78</v>
      </c>
      <c r="E7" s="26">
        <v>124.46</v>
      </c>
      <c r="F7" s="26">
        <v>136.91999999999999</v>
      </c>
      <c r="G7" s="26">
        <v>127.15</v>
      </c>
      <c r="H7" s="26">
        <v>113.07</v>
      </c>
      <c r="I7" s="26">
        <v>109.09</v>
      </c>
      <c r="J7" s="26">
        <v>122.49</v>
      </c>
      <c r="K7" s="1"/>
      <c r="L7" s="2"/>
      <c r="M7" s="1"/>
      <c r="N7" s="2"/>
      <c r="O7" s="1"/>
      <c r="P7" s="2"/>
      <c r="Q7" s="1"/>
    </row>
    <row r="8" spans="1:17" x14ac:dyDescent="0.2">
      <c r="A8" s="4" t="s">
        <v>6</v>
      </c>
      <c r="B8" s="9"/>
    </row>
    <row r="9" spans="1:17" x14ac:dyDescent="0.2">
      <c r="B9" s="27"/>
      <c r="C9" s="27"/>
      <c r="D9" s="27"/>
      <c r="E9" s="27"/>
      <c r="F9" s="26"/>
    </row>
    <row r="10" spans="1:17" x14ac:dyDescent="0.2">
      <c r="A10" s="4" t="s">
        <v>9</v>
      </c>
      <c r="B10" s="27"/>
      <c r="C10" s="27"/>
      <c r="D10" s="27"/>
      <c r="E10" s="27"/>
      <c r="F10" s="26"/>
    </row>
    <row r="11" spans="1:17" ht="18" x14ac:dyDescent="0.2">
      <c r="A11" s="5" t="s">
        <v>7</v>
      </c>
      <c r="B11" s="27"/>
      <c r="C11" s="27"/>
      <c r="D11" s="26">
        <v>22.49</v>
      </c>
      <c r="E11" s="26">
        <v>29.46</v>
      </c>
      <c r="F11" s="26">
        <v>33</v>
      </c>
      <c r="G11" s="26">
        <v>111.44</v>
      </c>
      <c r="H11" s="26">
        <v>130.34</v>
      </c>
      <c r="I11" s="26">
        <v>128.99</v>
      </c>
      <c r="J11" s="26">
        <v>129.01</v>
      </c>
      <c r="P11" s="16"/>
      <c r="Q11" s="1"/>
    </row>
    <row r="12" spans="1:17" ht="18" x14ac:dyDescent="0.2">
      <c r="A12" s="5" t="s">
        <v>8</v>
      </c>
      <c r="B12" s="27"/>
      <c r="C12" s="27"/>
      <c r="D12" s="26">
        <v>178.54</v>
      </c>
      <c r="E12" s="26">
        <v>171.95</v>
      </c>
      <c r="F12" s="26">
        <v>170.07</v>
      </c>
      <c r="G12" s="26">
        <v>179.96</v>
      </c>
      <c r="H12" s="26">
        <v>167.52</v>
      </c>
      <c r="I12" s="26">
        <v>176.59</v>
      </c>
      <c r="J12" s="26">
        <v>183.04</v>
      </c>
      <c r="P12" s="2"/>
      <c r="Q12" s="1"/>
    </row>
    <row r="13" spans="1:17" ht="18" x14ac:dyDescent="0.2">
      <c r="A13" s="5" t="s">
        <v>24</v>
      </c>
      <c r="B13" s="27"/>
      <c r="C13" s="27"/>
      <c r="D13" s="26">
        <v>189.87</v>
      </c>
      <c r="E13" s="26">
        <v>173.65</v>
      </c>
      <c r="F13" s="26">
        <v>198.92</v>
      </c>
      <c r="G13" s="26">
        <v>182.46</v>
      </c>
      <c r="H13" s="26">
        <v>180.77</v>
      </c>
      <c r="I13" s="26">
        <v>185.53</v>
      </c>
      <c r="J13" s="26">
        <v>208.63</v>
      </c>
      <c r="K13" s="1"/>
      <c r="L13" s="2"/>
      <c r="M13" s="1"/>
      <c r="N13" s="2"/>
      <c r="O13" s="1"/>
      <c r="P13" s="2"/>
      <c r="Q13" s="1"/>
    </row>
    <row r="14" spans="1:17" x14ac:dyDescent="0.2">
      <c r="B14" s="27"/>
      <c r="C14" s="27"/>
      <c r="D14" s="27"/>
      <c r="E14" s="27"/>
      <c r="F14" s="26"/>
    </row>
    <row r="15" spans="1:17" ht="18" x14ac:dyDescent="0.2">
      <c r="A15" s="5" t="s">
        <v>32</v>
      </c>
      <c r="C15" s="27"/>
      <c r="D15" s="26">
        <v>-23.09</v>
      </c>
      <c r="E15" s="26">
        <v>-9.42</v>
      </c>
      <c r="F15" s="26">
        <v>-6.53</v>
      </c>
      <c r="G15" s="26">
        <v>-19.510000000000002</v>
      </c>
      <c r="H15" s="26">
        <v>-2.37</v>
      </c>
      <c r="I15" s="26">
        <v>14.31</v>
      </c>
      <c r="J15" s="26">
        <v>46.68</v>
      </c>
      <c r="K15" s="1"/>
      <c r="L15" s="20"/>
      <c r="M15" s="1"/>
      <c r="N15" s="3"/>
      <c r="O15" s="1"/>
      <c r="P15" s="3"/>
      <c r="Q15" s="1"/>
    </row>
    <row r="16" spans="1:17" ht="18" x14ac:dyDescent="0.2">
      <c r="A16" s="5" t="s">
        <v>23</v>
      </c>
      <c r="C16" s="27"/>
      <c r="D16" s="26">
        <v>18.23</v>
      </c>
      <c r="E16" s="26">
        <v>9.31</v>
      </c>
      <c r="F16" s="26">
        <v>51.04</v>
      </c>
      <c r="G16" s="26">
        <v>16.77</v>
      </c>
      <c r="H16" s="26">
        <v>14.04</v>
      </c>
      <c r="I16" s="26">
        <v>20.21</v>
      </c>
      <c r="J16" s="26">
        <v>55.95</v>
      </c>
      <c r="K16" s="1"/>
      <c r="L16" s="16"/>
      <c r="M16" s="1"/>
      <c r="N16" s="16"/>
      <c r="O16" s="1"/>
      <c r="P16" s="16"/>
      <c r="Q16" s="1"/>
    </row>
    <row r="17" spans="1:10" x14ac:dyDescent="0.2">
      <c r="A17" s="5" t="s">
        <v>25</v>
      </c>
      <c r="B17" s="27">
        <v>0.10879999999999999</v>
      </c>
      <c r="C17" s="27">
        <v>0.13039999999999999</v>
      </c>
      <c r="D17" s="27">
        <v>0.1239</v>
      </c>
      <c r="E17" s="27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0" x14ac:dyDescent="0.2">
      <c r="B18" s="26"/>
      <c r="D18" s="11"/>
      <c r="F18" s="11"/>
      <c r="H18" s="11"/>
      <c r="J18" s="11"/>
    </row>
    <row r="19" spans="1:10" x14ac:dyDescent="0.2">
      <c r="A19" s="5" t="s">
        <v>35</v>
      </c>
      <c r="B19" s="26"/>
      <c r="D19" s="11"/>
      <c r="F19" s="11"/>
      <c r="H19" s="11"/>
      <c r="J19" s="11"/>
    </row>
    <row r="20" spans="1:10" x14ac:dyDescent="0.2">
      <c r="A20" s="5" t="s">
        <v>36</v>
      </c>
      <c r="B20" s="26"/>
      <c r="D20" s="11"/>
      <c r="F20" s="11"/>
      <c r="H20" s="11"/>
      <c r="J20" s="11"/>
    </row>
    <row r="21" spans="1:10" x14ac:dyDescent="0.2">
      <c r="A21" s="5" t="s">
        <v>37</v>
      </c>
      <c r="B21" s="26"/>
      <c r="D21" s="11"/>
      <c r="F21" s="11"/>
      <c r="H21" s="11"/>
      <c r="J21" s="11"/>
    </row>
    <row r="22" spans="1:10" x14ac:dyDescent="0.2">
      <c r="A22" s="5" t="s">
        <v>38</v>
      </c>
      <c r="B22" s="26"/>
      <c r="D22" s="11"/>
      <c r="F22" s="11"/>
      <c r="H22" s="11"/>
      <c r="J22" s="11"/>
    </row>
    <row r="23" spans="1:10" x14ac:dyDescent="0.2">
      <c r="B23" s="28"/>
      <c r="C23" s="12"/>
      <c r="D23" s="12"/>
      <c r="E23" s="12"/>
      <c r="F23" s="12"/>
      <c r="G23" s="12"/>
      <c r="H23" s="12"/>
      <c r="I23" s="12"/>
      <c r="J23" s="12"/>
    </row>
    <row r="24" spans="1:10" x14ac:dyDescent="0.2">
      <c r="A24" s="5" t="s">
        <v>41</v>
      </c>
      <c r="B24" s="28">
        <v>0.49</v>
      </c>
      <c r="C24" s="28">
        <v>0.49</v>
      </c>
      <c r="D24" s="28">
        <v>0.51</v>
      </c>
      <c r="E24" s="28">
        <v>0.54</v>
      </c>
      <c r="F24" s="28">
        <v>0.51</v>
      </c>
      <c r="G24" s="28">
        <v>0.61</v>
      </c>
      <c r="H24" s="28">
        <v>0.62</v>
      </c>
      <c r="I24" s="28">
        <v>0.62</v>
      </c>
      <c r="J24" s="28">
        <v>0.6</v>
      </c>
    </row>
    <row r="25" spans="1:10" x14ac:dyDescent="0.2">
      <c r="B25" s="28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B26" s="28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6" t="s">
        <v>0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7" t="s">
        <v>1</v>
      </c>
      <c r="B28" s="12" t="e">
        <f>B2/B3</f>
        <v>#DIV/0!</v>
      </c>
      <c r="C28" s="12" t="e">
        <f t="shared" ref="C28:J28" si="0">C2/C3</f>
        <v>#DIV/0!</v>
      </c>
      <c r="D28" s="12">
        <f t="shared" si="0"/>
        <v>0</v>
      </c>
      <c r="E28" s="12">
        <f t="shared" si="0"/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  <c r="I28" s="12">
        <f t="shared" si="0"/>
        <v>0</v>
      </c>
      <c r="J28" s="12">
        <f t="shared" si="0"/>
        <v>0</v>
      </c>
    </row>
    <row r="29" spans="1:10" x14ac:dyDescent="0.2">
      <c r="A29" s="4" t="s">
        <v>2</v>
      </c>
      <c r="B29" s="12" t="e">
        <f>B12/B3</f>
        <v>#DIV/0!</v>
      </c>
      <c r="C29" s="12" t="e">
        <f t="shared" ref="C29:J29" si="1">C12/C3</f>
        <v>#DIV/0!</v>
      </c>
      <c r="D29" s="12">
        <f t="shared" si="1"/>
        <v>0.45675253907748981</v>
      </c>
      <c r="E29" s="12">
        <f t="shared" si="1"/>
        <v>0.45845997973657543</v>
      </c>
      <c r="F29" s="12">
        <f t="shared" si="1"/>
        <v>0.42308075028608383</v>
      </c>
      <c r="G29" s="12">
        <f t="shared" si="1"/>
        <v>0.37977461697547799</v>
      </c>
      <c r="H29" s="12">
        <f t="shared" si="1"/>
        <v>0.34999895535173309</v>
      </c>
      <c r="I29" s="12">
        <f t="shared" si="1"/>
        <v>0.35958053349623292</v>
      </c>
      <c r="J29" s="12">
        <f t="shared" si="1"/>
        <v>0.35519677093844598</v>
      </c>
    </row>
    <row r="30" spans="1:10" x14ac:dyDescent="0.2">
      <c r="A30" s="4" t="s">
        <v>3</v>
      </c>
      <c r="B30" s="12" t="e">
        <f>B11/B3</f>
        <v>#DIV/0!</v>
      </c>
      <c r="C30" s="12" t="e">
        <f t="shared" ref="C30:J30" si="2">C11/C3</f>
        <v>#DIV/0!</v>
      </c>
      <c r="D30" s="12">
        <f t="shared" si="2"/>
        <v>5.7535368006344491E-2</v>
      </c>
      <c r="E30" s="12">
        <f t="shared" si="2"/>
        <v>7.8547432410814272E-2</v>
      </c>
      <c r="F30" s="12">
        <f t="shared" si="2"/>
        <v>8.2093636499328326E-2</v>
      </c>
      <c r="G30" s="12">
        <f t="shared" si="2"/>
        <v>0.2351749461866374</v>
      </c>
      <c r="H30" s="12">
        <f t="shared" si="2"/>
        <v>0.27231891022292792</v>
      </c>
      <c r="I30" s="12">
        <f t="shared" si="2"/>
        <v>0.26265526369374875</v>
      </c>
      <c r="J30" s="12">
        <f t="shared" si="2"/>
        <v>0.25034929752386864</v>
      </c>
    </row>
    <row r="31" spans="1:10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">
      <c r="A33" s="6" t="s">
        <v>14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">
      <c r="A34" s="7" t="s">
        <v>39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7" t="s">
        <v>15</v>
      </c>
      <c r="B35" s="12" t="e">
        <f>B34/B3</f>
        <v>#DIV/0!</v>
      </c>
      <c r="C35" s="12" t="e">
        <f t="shared" ref="C35:J35" si="3">C34/C3</f>
        <v>#DIV/0!</v>
      </c>
      <c r="D35" s="12">
        <f t="shared" si="3"/>
        <v>0</v>
      </c>
      <c r="E35" s="12">
        <f t="shared" si="3"/>
        <v>0</v>
      </c>
      <c r="F35" s="12">
        <f t="shared" si="3"/>
        <v>0</v>
      </c>
      <c r="G35" s="12">
        <f t="shared" si="3"/>
        <v>0</v>
      </c>
      <c r="H35" s="12">
        <f t="shared" si="3"/>
        <v>0</v>
      </c>
      <c r="I35" s="12">
        <f t="shared" si="3"/>
        <v>0</v>
      </c>
      <c r="J35" s="12">
        <f t="shared" si="3"/>
        <v>0</v>
      </c>
    </row>
    <row r="36" spans="1:10" x14ac:dyDescent="0.2">
      <c r="A36" s="4" t="s">
        <v>16</v>
      </c>
      <c r="B36" s="12">
        <f>B16-(B13*B17)</f>
        <v>0</v>
      </c>
      <c r="C36" s="12">
        <f t="shared" ref="C36:J36" si="4">C16-(C13*C17)</f>
        <v>0</v>
      </c>
      <c r="D36" s="12">
        <f t="shared" si="4"/>
        <v>-5.2948929999999983</v>
      </c>
      <c r="E36" s="12">
        <f t="shared" si="4"/>
        <v>1.6346699999999998</v>
      </c>
      <c r="F36" s="12">
        <f t="shared" si="4"/>
        <v>45.549807999999999</v>
      </c>
      <c r="G36" s="12">
        <f t="shared" si="4"/>
        <v>5.8953839999999982</v>
      </c>
      <c r="H36" s="12">
        <f t="shared" si="4"/>
        <v>2.4164889999999986</v>
      </c>
      <c r="I36" s="12">
        <f t="shared" si="4"/>
        <v>1.7683180000000007</v>
      </c>
      <c r="J36" s="12">
        <f t="shared" si="4"/>
        <v>26.700074000000004</v>
      </c>
    </row>
    <row r="37" spans="1:10" x14ac:dyDescent="0.2">
      <c r="A37" s="5" t="s">
        <v>17</v>
      </c>
      <c r="B37" s="28">
        <v>4.5699999999999998E-2</v>
      </c>
      <c r="C37" s="28">
        <v>4.5699999999999998E-2</v>
      </c>
      <c r="D37" s="28">
        <v>4.6600000000000003E-2</v>
      </c>
      <c r="E37" s="28">
        <v>2.4799999999999999E-2</v>
      </c>
      <c r="F37" s="28">
        <v>0.127</v>
      </c>
      <c r="G37" s="28">
        <v>3.5400000000000001E-2</v>
      </c>
      <c r="H37" s="28">
        <v>2.93E-2</v>
      </c>
      <c r="I37" s="28">
        <v>4.1099999999999998E-2</v>
      </c>
      <c r="J37" s="28">
        <v>0.1086</v>
      </c>
    </row>
    <row r="38" spans="1:10" x14ac:dyDescent="0.2">
      <c r="A38" s="5" t="s">
        <v>18</v>
      </c>
      <c r="B38" s="28">
        <v>8.9399999999999993E-2</v>
      </c>
      <c r="C38" s="28">
        <v>8.9399999999999993E-2</v>
      </c>
      <c r="D38" s="28">
        <v>9.6000000000000002E-2</v>
      </c>
      <c r="E38" s="28">
        <v>5.3600000000000002E-2</v>
      </c>
      <c r="F38" s="28">
        <v>0.25659999999999999</v>
      </c>
      <c r="G38" s="28">
        <v>9.1899999999999996E-2</v>
      </c>
      <c r="H38" s="28">
        <v>7.7700000000000005E-2</v>
      </c>
      <c r="I38" s="28">
        <v>0.1089</v>
      </c>
      <c r="J38" s="28">
        <v>0.26819999999999999</v>
      </c>
    </row>
    <row r="39" spans="1:10" x14ac:dyDescent="0.2">
      <c r="A39" s="13" t="s">
        <v>19</v>
      </c>
      <c r="B39" s="28">
        <v>25.217300000000002</v>
      </c>
      <c r="C39" s="28">
        <v>25.217300000000002</v>
      </c>
      <c r="D39" s="28">
        <v>4.0183</v>
      </c>
      <c r="E39" s="28">
        <v>3.2206999999999999</v>
      </c>
      <c r="F39" s="28">
        <v>15.0738</v>
      </c>
      <c r="G39" s="28">
        <v>1.5310999999999999</v>
      </c>
      <c r="H39" s="28">
        <v>0.44869999999999999</v>
      </c>
      <c r="I39" s="28">
        <v>0.58379999999999999</v>
      </c>
      <c r="J39" s="28">
        <v>1.1993</v>
      </c>
    </row>
    <row r="40" spans="1:10" x14ac:dyDescent="0.2">
      <c r="A40" s="5" t="s">
        <v>20</v>
      </c>
      <c r="B40" s="28">
        <v>4.45</v>
      </c>
      <c r="C40" s="28">
        <v>4.45</v>
      </c>
      <c r="D40" s="28">
        <v>3.28</v>
      </c>
      <c r="E40" s="28">
        <v>3.17</v>
      </c>
      <c r="F40" s="28">
        <v>2.2400000000000002</v>
      </c>
      <c r="G40" s="28">
        <v>1.64</v>
      </c>
      <c r="H40" s="28">
        <v>1.66</v>
      </c>
      <c r="I40" s="28">
        <v>1.78</v>
      </c>
      <c r="J40" s="28">
        <v>1.86</v>
      </c>
    </row>
    <row r="41" spans="1:10" x14ac:dyDescent="0.2">
      <c r="A41" s="4" t="s">
        <v>21</v>
      </c>
      <c r="B41" s="12" t="e">
        <f>(B5+B4)/(B11+B12)</f>
        <v>#DIV/0!</v>
      </c>
      <c r="C41" s="12" t="e">
        <f t="shared" ref="C41:J41" si="5">(C5+C4)/(C11+C12)</f>
        <v>#DIV/0!</v>
      </c>
      <c r="D41" s="12">
        <f t="shared" si="5"/>
        <v>1.1485847883400486</v>
      </c>
      <c r="E41" s="12">
        <f t="shared" si="5"/>
        <v>1.2176158085497244</v>
      </c>
      <c r="F41" s="12">
        <f t="shared" si="5"/>
        <v>1.282464174915054</v>
      </c>
      <c r="G41" s="12">
        <f t="shared" si="5"/>
        <v>1.1722374742621828</v>
      </c>
      <c r="H41" s="12">
        <f t="shared" si="5"/>
        <v>1.211676626603102</v>
      </c>
      <c r="I41" s="12">
        <f t="shared" si="5"/>
        <v>1.2351593690686562</v>
      </c>
      <c r="J41" s="12">
        <f t="shared" si="5"/>
        <v>1.2439673129306201</v>
      </c>
    </row>
    <row r="42" spans="1:10" x14ac:dyDescent="0.2"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">
      <c r="A43" s="6" t="s">
        <v>26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4" t="s">
        <v>27</v>
      </c>
      <c r="B44" s="12" t="e">
        <f>LOG10(B3)</f>
        <v>#NUM!</v>
      </c>
      <c r="C44" s="12" t="e">
        <f t="shared" ref="C44:J44" si="6">LOG10(C3)</f>
        <v>#NUM!</v>
      </c>
      <c r="D44" s="12">
        <f t="shared" si="6"/>
        <v>2.592054560172921</v>
      </c>
      <c r="E44" s="12">
        <f t="shared" si="6"/>
        <v>2.5741007492864467</v>
      </c>
      <c r="F44" s="12">
        <f t="shared" si="6"/>
        <v>2.6042044458563303</v>
      </c>
      <c r="G44" s="12">
        <f t="shared" si="6"/>
        <v>2.6756500500953528</v>
      </c>
      <c r="H44" s="12">
        <f t="shared" si="6"/>
        <v>2.6799999162292196</v>
      </c>
      <c r="I44" s="12">
        <f t="shared" si="6"/>
        <v>2.691169934131604</v>
      </c>
      <c r="J44" s="12">
        <f t="shared" si="6"/>
        <v>2.7120769981200747</v>
      </c>
    </row>
    <row r="45" spans="1:10" x14ac:dyDescent="0.2">
      <c r="A45" s="4" t="s">
        <v>28</v>
      </c>
      <c r="B45" s="12">
        <f>B15-B16</f>
        <v>0</v>
      </c>
      <c r="C45" s="12">
        <f t="shared" ref="C45:J45" si="7">C15-C16</f>
        <v>0</v>
      </c>
      <c r="D45" s="12">
        <f t="shared" si="7"/>
        <v>-41.32</v>
      </c>
      <c r="E45" s="12">
        <f t="shared" si="7"/>
        <v>-18.73</v>
      </c>
      <c r="F45" s="12">
        <f t="shared" si="7"/>
        <v>-57.57</v>
      </c>
      <c r="G45" s="12">
        <f t="shared" si="7"/>
        <v>-36.28</v>
      </c>
      <c r="H45" s="12">
        <f t="shared" si="7"/>
        <v>-16.41</v>
      </c>
      <c r="I45" s="12">
        <f t="shared" si="7"/>
        <v>-5.9</v>
      </c>
      <c r="J45" s="12">
        <f t="shared" si="7"/>
        <v>-9.2700000000000031</v>
      </c>
    </row>
    <row r="46" spans="1:10" x14ac:dyDescent="0.2">
      <c r="A46" s="4" t="s">
        <v>29</v>
      </c>
      <c r="B46" s="12" t="e">
        <f>(B6+B7)/B3</f>
        <v>#DIV/0!</v>
      </c>
      <c r="C46" s="12" t="e">
        <f t="shared" ref="C46:J46" si="8">(C6+C7)/C3</f>
        <v>#DIV/0!</v>
      </c>
      <c r="D46" s="12">
        <f t="shared" si="8"/>
        <v>0.39566118345314538</v>
      </c>
      <c r="E46" s="12">
        <f t="shared" si="8"/>
        <v>0.34383831920226093</v>
      </c>
      <c r="F46" s="12">
        <f t="shared" si="8"/>
        <v>0.35213194686302796</v>
      </c>
      <c r="G46" s="12">
        <f t="shared" si="8"/>
        <v>0.27915418055965896</v>
      </c>
      <c r="H46" s="12">
        <f t="shared" si="8"/>
        <v>0.24568037941625054</v>
      </c>
      <c r="I46" s="12">
        <f t="shared" si="8"/>
        <v>0.23113418855630219</v>
      </c>
      <c r="J46" s="12">
        <f t="shared" si="8"/>
        <v>0.24670107894124035</v>
      </c>
    </row>
    <row r="47" spans="1:10" x14ac:dyDescent="0.2">
      <c r="A47" s="7" t="s">
        <v>30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">
      <c r="A48" s="7" t="s">
        <v>31</v>
      </c>
      <c r="B48" s="12" t="e">
        <f>(B3-B13+B34)/B3</f>
        <v>#DIV/0!</v>
      </c>
      <c r="C48" s="12" t="e">
        <f t="shared" ref="C48:J48" si="9">(C3-C13+C34)/C3</f>
        <v>#DIV/0!</v>
      </c>
      <c r="D48" s="12">
        <f t="shared" si="9"/>
        <v>0.51426232443910047</v>
      </c>
      <c r="E48" s="12">
        <f t="shared" si="9"/>
        <v>0.53700741214738978</v>
      </c>
      <c r="F48" s="12">
        <f t="shared" si="9"/>
        <v>0.50514950992586705</v>
      </c>
      <c r="G48" s="12">
        <f t="shared" si="9"/>
        <v>0.61494956316211535</v>
      </c>
      <c r="H48" s="12">
        <f t="shared" si="9"/>
        <v>0.62231786557466107</v>
      </c>
      <c r="I48" s="12">
        <f t="shared" si="9"/>
        <v>0.62221543473834262</v>
      </c>
      <c r="J48" s="12">
        <f t="shared" si="9"/>
        <v>0.59514476441822561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EFDC-4683-DB45-B882-5E3B43C955C6}">
  <dimension ref="A1:Q49"/>
  <sheetViews>
    <sheetView topLeftCell="A4" workbookViewId="0">
      <selection activeCell="A26" sqref="A26:J49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7" x14ac:dyDescent="0.2">
      <c r="A1" s="4" t="s">
        <v>12</v>
      </c>
      <c r="B1" s="9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7" x14ac:dyDescent="0.2">
      <c r="A2" s="4" t="s">
        <v>13</v>
      </c>
      <c r="B2" s="9"/>
      <c r="C2" s="10"/>
      <c r="E2" s="10"/>
      <c r="G2" s="10"/>
      <c r="I2" s="10"/>
    </row>
    <row r="3" spans="1:17" ht="18" x14ac:dyDescent="0.2">
      <c r="A3" s="5" t="s">
        <v>4</v>
      </c>
      <c r="B3" s="31">
        <v>14024.02</v>
      </c>
      <c r="C3" s="31">
        <v>14004.32</v>
      </c>
      <c r="D3" s="31">
        <v>11709.27</v>
      </c>
      <c r="E3" s="31">
        <v>10655.11</v>
      </c>
      <c r="F3" s="31">
        <v>9457.31</v>
      </c>
      <c r="G3" s="31">
        <v>5416.72</v>
      </c>
      <c r="H3" s="31">
        <v>4674.55</v>
      </c>
      <c r="I3" s="31">
        <v>4489.18</v>
      </c>
      <c r="J3" s="31">
        <v>3932.81</v>
      </c>
      <c r="K3" s="1"/>
      <c r="L3" s="2"/>
      <c r="M3" s="1"/>
      <c r="N3" s="2"/>
      <c r="O3" s="1"/>
      <c r="P3" s="16"/>
      <c r="Q3" s="1"/>
    </row>
    <row r="4" spans="1:17" x14ac:dyDescent="0.2">
      <c r="A4" s="5" t="s">
        <v>22</v>
      </c>
      <c r="B4" s="8">
        <v>7.0000000000000001E-3</v>
      </c>
      <c r="C4" s="8">
        <v>1.0999999999999999E-2</v>
      </c>
      <c r="D4" s="8">
        <v>2.1999999999999999E-2</v>
      </c>
      <c r="E4" s="8">
        <v>1.7999999999999999E-2</v>
      </c>
      <c r="F4" s="8">
        <v>2.8000000000000001E-2</v>
      </c>
      <c r="G4" s="8">
        <v>3.5999999999999997E-2</v>
      </c>
      <c r="H4" s="8">
        <v>4.7E-2</v>
      </c>
      <c r="I4" s="8">
        <v>0</v>
      </c>
      <c r="J4" s="8">
        <v>0</v>
      </c>
    </row>
    <row r="5" spans="1:17" ht="18" x14ac:dyDescent="0.2">
      <c r="A5" s="5" t="s">
        <v>5</v>
      </c>
      <c r="B5" s="31">
        <v>1969.46</v>
      </c>
      <c r="C5" s="31">
        <v>1464.6</v>
      </c>
      <c r="D5" s="31">
        <v>1666.99</v>
      </c>
      <c r="E5" s="8">
        <v>971.39</v>
      </c>
      <c r="F5" s="8">
        <v>911.77</v>
      </c>
      <c r="G5" s="8">
        <v>888.14</v>
      </c>
      <c r="H5" s="8">
        <v>596.4</v>
      </c>
      <c r="I5" s="8">
        <v>691.19</v>
      </c>
      <c r="J5" s="8">
        <v>489.52</v>
      </c>
      <c r="K5" s="1"/>
      <c r="L5" s="2"/>
      <c r="M5" s="1"/>
      <c r="N5" s="2"/>
      <c r="O5" s="1"/>
      <c r="P5" s="2"/>
      <c r="Q5" s="1"/>
    </row>
    <row r="6" spans="1:17" ht="18" x14ac:dyDescent="0.2">
      <c r="A6" s="5" t="s">
        <v>33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1"/>
      <c r="L6" s="2"/>
      <c r="M6" s="1"/>
      <c r="N6" s="16"/>
      <c r="O6" s="1"/>
      <c r="P6" s="16"/>
      <c r="Q6" s="1"/>
    </row>
    <row r="7" spans="1:17" ht="18" x14ac:dyDescent="0.2">
      <c r="A7" s="5" t="s">
        <v>34</v>
      </c>
      <c r="B7" s="31">
        <v>12054.55</v>
      </c>
      <c r="C7" s="31">
        <v>12539.71</v>
      </c>
      <c r="D7" s="31">
        <v>10042.26</v>
      </c>
      <c r="E7" s="31">
        <v>9683.7000000000007</v>
      </c>
      <c r="F7" s="31">
        <v>8545.51</v>
      </c>
      <c r="G7" s="31">
        <v>4528.54</v>
      </c>
      <c r="H7" s="31">
        <v>4078.1</v>
      </c>
      <c r="I7" s="31">
        <v>3797.99</v>
      </c>
      <c r="J7" s="31">
        <v>3443.28</v>
      </c>
      <c r="K7" s="1"/>
      <c r="L7" s="2"/>
      <c r="M7" s="1"/>
      <c r="N7" s="2"/>
      <c r="O7" s="1"/>
      <c r="P7" s="2"/>
      <c r="Q7" s="1"/>
    </row>
    <row r="8" spans="1:17" x14ac:dyDescent="0.2">
      <c r="A8" s="4" t="s">
        <v>6</v>
      </c>
      <c r="B8" s="9"/>
    </row>
    <row r="9" spans="1:17" x14ac:dyDescent="0.2">
      <c r="B9" s="11"/>
      <c r="C9" s="11"/>
      <c r="D9" s="11"/>
      <c r="E9" s="11"/>
    </row>
    <row r="10" spans="1:17" x14ac:dyDescent="0.2">
      <c r="A10" s="4" t="s">
        <v>9</v>
      </c>
      <c r="B10" s="11"/>
      <c r="C10" s="11"/>
      <c r="D10" s="11"/>
      <c r="E10" s="11"/>
    </row>
    <row r="11" spans="1:17" ht="18" x14ac:dyDescent="0.2">
      <c r="A11" s="5" t="s">
        <v>7</v>
      </c>
      <c r="B11" s="31">
        <v>1131.44</v>
      </c>
      <c r="C11" s="31">
        <v>1415.17</v>
      </c>
      <c r="D11" s="8">
        <v>817.37</v>
      </c>
      <c r="E11" s="8">
        <v>95.12</v>
      </c>
      <c r="F11" s="8">
        <v>371.06</v>
      </c>
      <c r="G11" s="8">
        <v>275.14999999999998</v>
      </c>
      <c r="H11" s="8">
        <v>70.09</v>
      </c>
      <c r="I11" s="8">
        <v>310.01</v>
      </c>
      <c r="J11" s="8">
        <v>162.30000000000001</v>
      </c>
      <c r="P11" s="16"/>
      <c r="Q11" s="1"/>
    </row>
    <row r="12" spans="1:17" ht="18" x14ac:dyDescent="0.2">
      <c r="A12" s="5" t="s">
        <v>8</v>
      </c>
      <c r="B12" s="8">
        <v>3.25</v>
      </c>
      <c r="C12" s="8">
        <v>3.27</v>
      </c>
      <c r="D12" s="8">
        <v>2.79</v>
      </c>
      <c r="E12" s="8">
        <v>1.23</v>
      </c>
      <c r="F12" s="8">
        <v>0.85</v>
      </c>
      <c r="G12" s="8">
        <v>0.78</v>
      </c>
      <c r="H12" s="8">
        <v>0.76</v>
      </c>
      <c r="I12" s="8">
        <v>0.54</v>
      </c>
      <c r="J12" s="8">
        <v>0.32</v>
      </c>
      <c r="P12" s="2"/>
      <c r="Q12" s="1"/>
    </row>
    <row r="13" spans="1:17" ht="18" x14ac:dyDescent="0.2">
      <c r="A13" s="5" t="s">
        <v>24</v>
      </c>
      <c r="B13" s="31">
        <v>12889.32</v>
      </c>
      <c r="C13" s="31">
        <v>12585.88</v>
      </c>
      <c r="D13" s="31">
        <v>10889.11</v>
      </c>
      <c r="E13" s="31">
        <v>10558.77</v>
      </c>
      <c r="F13" s="31">
        <v>9085.41</v>
      </c>
      <c r="G13" s="31">
        <v>5140.79</v>
      </c>
      <c r="H13" s="31">
        <v>4603.7</v>
      </c>
      <c r="I13" s="31">
        <v>4178.63</v>
      </c>
      <c r="J13" s="31">
        <v>3770.19</v>
      </c>
      <c r="P13" s="2"/>
      <c r="Q13" s="1"/>
    </row>
    <row r="14" spans="1:17" x14ac:dyDescent="0.2">
      <c r="B14" s="11"/>
      <c r="C14" s="11"/>
      <c r="D14" s="11"/>
      <c r="E14" s="11"/>
    </row>
    <row r="15" spans="1:17" ht="18" x14ac:dyDescent="0.2">
      <c r="A15" s="5" t="s">
        <v>32</v>
      </c>
      <c r="B15" s="31">
        <v>4223.0200000000004</v>
      </c>
      <c r="C15" s="31">
        <v>3951.23</v>
      </c>
      <c r="D15" s="31">
        <v>3321.42</v>
      </c>
      <c r="E15" s="31">
        <v>2096.08</v>
      </c>
      <c r="F15" s="31">
        <v>2025.48</v>
      </c>
      <c r="G15" s="31">
        <v>1709.07</v>
      </c>
      <c r="H15" s="31">
        <v>1672.51</v>
      </c>
      <c r="I15" s="31">
        <v>1450.35</v>
      </c>
      <c r="J15" s="31">
        <v>1209.44</v>
      </c>
      <c r="K15" s="1"/>
      <c r="L15" s="20"/>
      <c r="M15" s="1"/>
      <c r="N15" s="3"/>
      <c r="O15" s="1"/>
      <c r="P15" s="3"/>
      <c r="Q15" s="1"/>
    </row>
    <row r="16" spans="1:17" ht="18" x14ac:dyDescent="0.2">
      <c r="A16" s="5" t="s">
        <v>23</v>
      </c>
      <c r="B16" s="31">
        <v>3765.18</v>
      </c>
      <c r="C16" s="31">
        <v>3582.24</v>
      </c>
      <c r="D16" s="31">
        <v>2952.84</v>
      </c>
      <c r="E16" s="31">
        <v>1896.15</v>
      </c>
      <c r="F16" s="31">
        <v>1769.41</v>
      </c>
      <c r="G16" s="31">
        <v>1536.06</v>
      </c>
      <c r="H16" s="31">
        <v>1477.61</v>
      </c>
      <c r="I16" s="31">
        <v>1298.8499999999999</v>
      </c>
      <c r="J16" s="31">
        <v>1089.5899999999999</v>
      </c>
      <c r="K16" s="1"/>
      <c r="L16" s="16"/>
      <c r="M16" s="1"/>
      <c r="N16" s="16"/>
      <c r="O16" s="1"/>
      <c r="P16" s="16"/>
      <c r="Q16" s="1"/>
    </row>
    <row r="17" spans="1:10" x14ac:dyDescent="0.2">
      <c r="A17" s="5" t="s">
        <v>25</v>
      </c>
      <c r="B17" s="11">
        <v>0.10879999999999999</v>
      </c>
      <c r="C17" s="11">
        <v>0.13039999999999999</v>
      </c>
      <c r="D17" s="11">
        <v>0.1239</v>
      </c>
      <c r="E17" s="11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0" x14ac:dyDescent="0.2">
      <c r="B18" s="11"/>
      <c r="C18" s="11"/>
      <c r="D18" s="11"/>
      <c r="E18" s="11"/>
      <c r="H18" s="11"/>
      <c r="J18" s="11"/>
    </row>
    <row r="19" spans="1:10" x14ac:dyDescent="0.2">
      <c r="C19" s="11"/>
      <c r="D19" s="11"/>
      <c r="H19" s="11"/>
      <c r="J19" s="11"/>
    </row>
    <row r="20" spans="1:10" x14ac:dyDescent="0.2">
      <c r="A20" s="5" t="s">
        <v>35</v>
      </c>
      <c r="C20" s="11"/>
      <c r="D20" s="11"/>
      <c r="H20" s="11"/>
      <c r="J20" s="11"/>
    </row>
    <row r="21" spans="1:10" x14ac:dyDescent="0.2">
      <c r="A21" s="5" t="s">
        <v>36</v>
      </c>
      <c r="D21" s="11"/>
      <c r="F21" s="11"/>
      <c r="H21" s="11"/>
      <c r="J21" s="11"/>
    </row>
    <row r="22" spans="1:10" x14ac:dyDescent="0.2">
      <c r="A22" s="5" t="s">
        <v>37</v>
      </c>
      <c r="D22" s="11"/>
      <c r="F22" s="11"/>
      <c r="H22" s="11"/>
      <c r="J22" s="11"/>
    </row>
    <row r="23" spans="1:10" x14ac:dyDescent="0.2">
      <c r="A23" s="5" t="s">
        <v>38</v>
      </c>
      <c r="D23" s="11"/>
      <c r="F23" s="11"/>
      <c r="H23" s="11"/>
      <c r="J23" s="11"/>
    </row>
    <row r="24" spans="1:10" x14ac:dyDescent="0.2">
      <c r="D24" s="11"/>
      <c r="F24" s="11"/>
      <c r="H24" s="11"/>
      <c r="J24" s="11"/>
    </row>
    <row r="26" spans="1:10" x14ac:dyDescent="0.2">
      <c r="A26" s="5" t="s">
        <v>41</v>
      </c>
      <c r="B26" s="12">
        <v>0.08</v>
      </c>
      <c r="C26" s="12">
        <v>0.1</v>
      </c>
      <c r="D26" s="12">
        <v>7.0000000000000007E-2</v>
      </c>
      <c r="E26" s="12">
        <v>0.01</v>
      </c>
      <c r="F26" s="12">
        <v>0.04</v>
      </c>
      <c r="G26" s="12">
        <v>0.05</v>
      </c>
      <c r="H26" s="12">
        <v>0.02</v>
      </c>
      <c r="I26" s="12">
        <v>7.0000000000000007E-2</v>
      </c>
      <c r="J26" s="12">
        <v>0.04</v>
      </c>
    </row>
    <row r="27" spans="1:10" x14ac:dyDescent="0.2"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6" t="s">
        <v>0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2">
      <c r="A29" s="7" t="s">
        <v>1</v>
      </c>
      <c r="B29" s="12">
        <f>B2/B3</f>
        <v>0</v>
      </c>
      <c r="C29" s="12">
        <f t="shared" ref="C29:J29" si="0">C2/C3</f>
        <v>0</v>
      </c>
      <c r="D29" s="12">
        <f t="shared" si="0"/>
        <v>0</v>
      </c>
      <c r="E29" s="12">
        <f t="shared" si="0"/>
        <v>0</v>
      </c>
      <c r="F29" s="12">
        <f t="shared" si="0"/>
        <v>0</v>
      </c>
      <c r="G29" s="12">
        <f t="shared" si="0"/>
        <v>0</v>
      </c>
      <c r="H29" s="12">
        <f t="shared" si="0"/>
        <v>0</v>
      </c>
      <c r="I29" s="12">
        <f t="shared" si="0"/>
        <v>0</v>
      </c>
      <c r="J29" s="12">
        <f t="shared" si="0"/>
        <v>0</v>
      </c>
    </row>
    <row r="30" spans="1:10" x14ac:dyDescent="0.2">
      <c r="A30" s="4" t="s">
        <v>2</v>
      </c>
      <c r="B30" s="12">
        <f>B12/B3</f>
        <v>2.3174524850934326E-4</v>
      </c>
      <c r="C30" s="12">
        <f t="shared" ref="C30:J30" si="1">C12/C3</f>
        <v>2.3349937733499379E-4</v>
      </c>
      <c r="D30" s="12">
        <f t="shared" si="1"/>
        <v>2.3827275312636911E-4</v>
      </c>
      <c r="E30" s="12">
        <f t="shared" si="1"/>
        <v>1.1543756939158768E-4</v>
      </c>
      <c r="F30" s="12">
        <f t="shared" si="1"/>
        <v>8.9877565607979432E-5</v>
      </c>
      <c r="G30" s="12">
        <f t="shared" si="1"/>
        <v>1.4399858216780634E-4</v>
      </c>
      <c r="H30" s="12">
        <f t="shared" si="1"/>
        <v>1.6258249457167E-4</v>
      </c>
      <c r="I30" s="12">
        <f t="shared" si="1"/>
        <v>1.2028922876783733E-4</v>
      </c>
      <c r="J30" s="12">
        <f t="shared" si="1"/>
        <v>8.1366758119512514E-5</v>
      </c>
    </row>
    <row r="31" spans="1:10" x14ac:dyDescent="0.2">
      <c r="A31" s="4" t="s">
        <v>3</v>
      </c>
      <c r="B31" s="12">
        <f>B11/B3</f>
        <v>8.067872122258811E-2</v>
      </c>
      <c r="C31" s="12">
        <f t="shared" ref="C31:J31" si="2">C11/C3</f>
        <v>0.10105238954836794</v>
      </c>
      <c r="D31" s="12">
        <f t="shared" si="2"/>
        <v>6.9805376423978605E-2</v>
      </c>
      <c r="E31" s="12">
        <f t="shared" si="2"/>
        <v>8.9271720329494493E-3</v>
      </c>
      <c r="F31" s="12">
        <f t="shared" si="2"/>
        <v>3.9235258228819826E-2</v>
      </c>
      <c r="G31" s="12">
        <f t="shared" si="2"/>
        <v>5.079642292752809E-2</v>
      </c>
      <c r="H31" s="12">
        <f t="shared" si="2"/>
        <v>1.4993956637537303E-2</v>
      </c>
      <c r="I31" s="12">
        <f t="shared" si="2"/>
        <v>6.9057155204291204E-2</v>
      </c>
      <c r="J31" s="12">
        <f t="shared" si="2"/>
        <v>4.1268202633740259E-2</v>
      </c>
    </row>
    <row r="32" spans="1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"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">
      <c r="A34" s="6" t="s">
        <v>14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7" t="s">
        <v>39</v>
      </c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2">
      <c r="A36" s="7" t="s">
        <v>15</v>
      </c>
      <c r="B36" s="12">
        <f>B35/B3</f>
        <v>0</v>
      </c>
      <c r="C36" s="12">
        <f t="shared" ref="C36:J36" si="3">C35/C3</f>
        <v>0</v>
      </c>
      <c r="D36" s="12">
        <f t="shared" si="3"/>
        <v>0</v>
      </c>
      <c r="E36" s="12">
        <f t="shared" si="3"/>
        <v>0</v>
      </c>
      <c r="F36" s="12">
        <f t="shared" si="3"/>
        <v>0</v>
      </c>
      <c r="G36" s="12">
        <f t="shared" si="3"/>
        <v>0</v>
      </c>
      <c r="H36" s="12">
        <f t="shared" si="3"/>
        <v>0</v>
      </c>
      <c r="I36" s="12">
        <f t="shared" si="3"/>
        <v>0</v>
      </c>
      <c r="J36" s="12">
        <f t="shared" si="3"/>
        <v>0</v>
      </c>
    </row>
    <row r="37" spans="1:10" x14ac:dyDescent="0.2">
      <c r="A37" s="4" t="s">
        <v>16</v>
      </c>
      <c r="B37" s="12">
        <f>B16-(B13*B17)</f>
        <v>2362.8219840000002</v>
      </c>
      <c r="C37" s="12">
        <f t="shared" ref="C37:J37" si="4">C16-(C13*C17)</f>
        <v>1941.041248</v>
      </c>
      <c r="D37" s="12">
        <f t="shared" si="4"/>
        <v>1603.6792710000002</v>
      </c>
      <c r="E37" s="12">
        <f t="shared" si="4"/>
        <v>1429.452366</v>
      </c>
      <c r="F37" s="12">
        <f t="shared" si="4"/>
        <v>1518.6526840000001</v>
      </c>
      <c r="G37" s="12">
        <f t="shared" si="4"/>
        <v>1229.6689160000001</v>
      </c>
      <c r="H37" s="12">
        <f t="shared" si="4"/>
        <v>1181.5920899999999</v>
      </c>
      <c r="I37" s="12">
        <f t="shared" si="4"/>
        <v>883.49417799999992</v>
      </c>
      <c r="J37" s="12">
        <f t="shared" si="4"/>
        <v>561.0093619999999</v>
      </c>
    </row>
    <row r="38" spans="1:10" x14ac:dyDescent="0.2">
      <c r="A38" s="5" t="s">
        <v>17</v>
      </c>
      <c r="B38" s="12">
        <v>0.26850000000000002</v>
      </c>
      <c r="C38" s="12">
        <v>0.25580000000000003</v>
      </c>
      <c r="D38" s="12">
        <v>0.25700000000000001</v>
      </c>
      <c r="E38" s="12">
        <v>0.17799999999999999</v>
      </c>
      <c r="F38" s="12">
        <v>0.18709999999999999</v>
      </c>
      <c r="G38" s="12">
        <v>0.28360000000000002</v>
      </c>
      <c r="H38" s="12">
        <v>0.31609999999999999</v>
      </c>
      <c r="I38" s="12">
        <v>0.2893</v>
      </c>
      <c r="J38" s="12">
        <v>0.27710000000000001</v>
      </c>
    </row>
    <row r="39" spans="1:10" x14ac:dyDescent="0.2">
      <c r="A39" s="5" t="s">
        <v>18</v>
      </c>
      <c r="B39" s="12">
        <v>0.29210000000000003</v>
      </c>
      <c r="C39" s="12">
        <v>0.28460000000000002</v>
      </c>
      <c r="D39" s="12">
        <v>0.24410000000000001</v>
      </c>
      <c r="E39" s="12">
        <v>0.17960000000000001</v>
      </c>
      <c r="F39" s="12">
        <v>0.1948</v>
      </c>
      <c r="G39" s="12">
        <v>0.31230000000000002</v>
      </c>
      <c r="H39" s="12">
        <v>0.32700000000000001</v>
      </c>
      <c r="I39" s="12">
        <v>0.31619999999999998</v>
      </c>
      <c r="J39" s="12">
        <v>0.29210000000000003</v>
      </c>
    </row>
    <row r="40" spans="1:10" x14ac:dyDescent="0.2">
      <c r="A40" s="13" t="s">
        <v>19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2">
      <c r="A41" s="5" t="s">
        <v>20</v>
      </c>
      <c r="B41" s="12">
        <v>1.74</v>
      </c>
      <c r="C41" s="12">
        <v>1.03</v>
      </c>
      <c r="D41" s="12">
        <v>2.04</v>
      </c>
      <c r="E41" s="12">
        <v>10.210000000000001</v>
      </c>
      <c r="F41" s="12">
        <v>2.46</v>
      </c>
      <c r="G41" s="12">
        <v>3.23</v>
      </c>
      <c r="H41" s="12">
        <v>8.51</v>
      </c>
      <c r="I41" s="12">
        <v>2.23</v>
      </c>
      <c r="J41" s="12">
        <v>3.02</v>
      </c>
    </row>
    <row r="42" spans="1:10" x14ac:dyDescent="0.2">
      <c r="A42" s="4" t="s">
        <v>21</v>
      </c>
      <c r="B42" s="12">
        <f>(B5+B4)/(B11+B12)</f>
        <v>1.7356872802263172</v>
      </c>
      <c r="C42" s="12">
        <f t="shared" ref="C42:J42" si="5">(C5+C4)/(C11+C12)</f>
        <v>1.0325505484898903</v>
      </c>
      <c r="D42" s="12">
        <f t="shared" si="5"/>
        <v>2.0325448692937962</v>
      </c>
      <c r="E42" s="12">
        <f t="shared" si="5"/>
        <v>10.082075765438505</v>
      </c>
      <c r="F42" s="12">
        <f t="shared" si="5"/>
        <v>2.4516630367562042</v>
      </c>
      <c r="G42" s="12">
        <f t="shared" si="5"/>
        <v>3.2188453593302651</v>
      </c>
      <c r="H42" s="12">
        <f t="shared" si="5"/>
        <v>8.418447424135497</v>
      </c>
      <c r="I42" s="12">
        <f t="shared" si="5"/>
        <v>2.2256963451940108</v>
      </c>
      <c r="J42" s="12">
        <f t="shared" si="5"/>
        <v>3.0102078465133437</v>
      </c>
    </row>
    <row r="43" spans="1:10" x14ac:dyDescent="0.2"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6" t="s">
        <v>26</v>
      </c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2">
      <c r="A45" s="4" t="s">
        <v>27</v>
      </c>
      <c r="B45" s="12">
        <f>LOG10(B3)</f>
        <v>4.1468725224442275</v>
      </c>
      <c r="C45" s="12">
        <f t="shared" ref="C45:J45" si="6">LOG10(C3)</f>
        <v>4.1462620258752292</v>
      </c>
      <c r="D45" s="12">
        <f t="shared" si="6"/>
        <v>4.0685298203623583</v>
      </c>
      <c r="E45" s="12">
        <f t="shared" si="6"/>
        <v>4.0275579375928219</v>
      </c>
      <c r="F45" s="12">
        <f t="shared" si="6"/>
        <v>3.9757676249549543</v>
      </c>
      <c r="G45" s="12">
        <f t="shared" si="6"/>
        <v>3.7337363867044626</v>
      </c>
      <c r="H45" s="12">
        <f t="shared" si="6"/>
        <v>3.6697398094495415</v>
      </c>
      <c r="I45" s="12">
        <f t="shared" si="6"/>
        <v>3.6521670194002036</v>
      </c>
      <c r="J45" s="12">
        <f t="shared" si="6"/>
        <v>3.5947029654932035</v>
      </c>
    </row>
    <row r="46" spans="1:10" x14ac:dyDescent="0.2">
      <c r="A46" s="4" t="s">
        <v>28</v>
      </c>
      <c r="B46" s="12">
        <f>B15-B16</f>
        <v>457.8400000000006</v>
      </c>
      <c r="C46" s="12">
        <f t="shared" ref="C46:J46" si="7">C15-C16</f>
        <v>368.99000000000024</v>
      </c>
      <c r="D46" s="12">
        <f t="shared" si="7"/>
        <v>368.57999999999993</v>
      </c>
      <c r="E46" s="12">
        <f t="shared" si="7"/>
        <v>199.92999999999984</v>
      </c>
      <c r="F46" s="12">
        <f t="shared" si="7"/>
        <v>256.06999999999994</v>
      </c>
      <c r="G46" s="12">
        <f t="shared" si="7"/>
        <v>173.01</v>
      </c>
      <c r="H46" s="12">
        <f t="shared" si="7"/>
        <v>194.90000000000009</v>
      </c>
      <c r="I46" s="12">
        <f t="shared" si="7"/>
        <v>151.5</v>
      </c>
      <c r="J46" s="12">
        <f t="shared" si="7"/>
        <v>119.85000000000014</v>
      </c>
    </row>
    <row r="47" spans="1:10" x14ac:dyDescent="0.2">
      <c r="A47" s="4" t="s">
        <v>29</v>
      </c>
      <c r="B47" s="12">
        <f>(B6+B7)/B3</f>
        <v>0.85956451859024718</v>
      </c>
      <c r="C47" s="12">
        <f t="shared" ref="C47:J47" si="8">(C6+C7)/C3</f>
        <v>0.89541727124201675</v>
      </c>
      <c r="D47" s="12">
        <f t="shared" si="8"/>
        <v>0.85763331104330154</v>
      </c>
      <c r="E47" s="12">
        <f t="shared" si="8"/>
        <v>0.90883153716855103</v>
      </c>
      <c r="F47" s="12">
        <f t="shared" si="8"/>
        <v>0.90358780668075811</v>
      </c>
      <c r="G47" s="12">
        <f t="shared" si="8"/>
        <v>0.83602992216692018</v>
      </c>
      <c r="H47" s="12">
        <f t="shared" si="8"/>
        <v>0.87240483041148342</v>
      </c>
      <c r="I47" s="12">
        <f t="shared" si="8"/>
        <v>0.84603201475547862</v>
      </c>
      <c r="J47" s="12">
        <f t="shared" si="8"/>
        <v>0.87552665905548455</v>
      </c>
    </row>
    <row r="48" spans="1:10" x14ac:dyDescent="0.2">
      <c r="A48" s="7" t="s">
        <v>30</v>
      </c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2">
      <c r="A49" s="7" t="s">
        <v>31</v>
      </c>
      <c r="B49" s="12">
        <f>(B3-B13+B35)/B3</f>
        <v>8.0911179533400601E-2</v>
      </c>
      <c r="C49" s="12">
        <f t="shared" ref="C49:J49" si="9">(C3-C13+C35)/C3</f>
        <v>0.10128588892570296</v>
      </c>
      <c r="D49" s="12">
        <f t="shared" si="9"/>
        <v>7.0043649177104969E-2</v>
      </c>
      <c r="E49" s="12">
        <f t="shared" si="9"/>
        <v>9.0416710855167285E-3</v>
      </c>
      <c r="F49" s="12">
        <f t="shared" si="9"/>
        <v>3.9324078411302969E-2</v>
      </c>
      <c r="G49" s="12">
        <f t="shared" si="9"/>
        <v>5.0940421509695959E-2</v>
      </c>
      <c r="H49" s="12">
        <f t="shared" si="9"/>
        <v>1.515653913210905E-2</v>
      </c>
      <c r="I49" s="12">
        <f t="shared" si="9"/>
        <v>6.9177444433059079E-2</v>
      </c>
      <c r="J49" s="12">
        <f t="shared" si="9"/>
        <v>4.1349569391859735E-2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3B47-A81D-ED4A-BD2F-B6FE059DD269}">
  <dimension ref="A1:Q48"/>
  <sheetViews>
    <sheetView topLeftCell="A11" workbookViewId="0">
      <selection activeCell="J48" sqref="A24:J48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7" x14ac:dyDescent="0.2">
      <c r="A1" s="4" t="s">
        <v>12</v>
      </c>
      <c r="B1" s="9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7" x14ac:dyDescent="0.2">
      <c r="A2" s="4" t="s">
        <v>13</v>
      </c>
      <c r="B2" s="9"/>
      <c r="C2" s="10"/>
      <c r="E2" s="10"/>
      <c r="G2" s="10"/>
      <c r="I2" s="10"/>
    </row>
    <row r="3" spans="1:17" ht="18" x14ac:dyDescent="0.2">
      <c r="A3" s="5" t="s">
        <v>4</v>
      </c>
      <c r="B3" s="31">
        <v>16446.87</v>
      </c>
      <c r="C3" s="31">
        <v>15486.43</v>
      </c>
      <c r="D3" s="31">
        <v>22977.56</v>
      </c>
      <c r="E3" s="31">
        <v>22674.44</v>
      </c>
      <c r="F3" s="31">
        <v>22720.959999999999</v>
      </c>
      <c r="G3" s="31">
        <v>17501.25</v>
      </c>
      <c r="H3" s="31">
        <v>15940.43</v>
      </c>
      <c r="I3" s="31">
        <v>14343.21</v>
      </c>
      <c r="J3" s="31">
        <v>13638.53</v>
      </c>
      <c r="K3" s="1"/>
      <c r="L3" s="2"/>
      <c r="M3" s="1"/>
      <c r="N3" s="2"/>
      <c r="O3" s="1"/>
      <c r="P3" s="16"/>
      <c r="Q3" s="1"/>
    </row>
    <row r="4" spans="1:17" ht="18" x14ac:dyDescent="0.2">
      <c r="A4" s="5" t="s">
        <v>22</v>
      </c>
      <c r="B4" s="31">
        <v>11207.6</v>
      </c>
      <c r="C4" s="31">
        <v>11945.31</v>
      </c>
      <c r="D4" s="31">
        <v>9071.2800000000007</v>
      </c>
      <c r="E4" s="31">
        <v>8424.01</v>
      </c>
      <c r="F4" s="31">
        <v>7047.65</v>
      </c>
      <c r="G4" s="31">
        <v>5839.27</v>
      </c>
      <c r="H4" s="31">
        <v>4715.17</v>
      </c>
      <c r="I4" s="31">
        <v>5403.9</v>
      </c>
      <c r="J4" s="31">
        <v>5911.25</v>
      </c>
      <c r="K4" s="1"/>
      <c r="L4" s="2"/>
      <c r="M4" s="1"/>
      <c r="N4" s="16"/>
      <c r="O4" s="1"/>
      <c r="P4" s="16"/>
      <c r="Q4" s="1"/>
    </row>
    <row r="5" spans="1:17" ht="18" x14ac:dyDescent="0.2">
      <c r="A5" s="5" t="s">
        <v>5</v>
      </c>
      <c r="B5" s="31">
        <v>5003.6000000000004</v>
      </c>
      <c r="C5" s="31">
        <v>3300.84</v>
      </c>
      <c r="D5" s="31">
        <v>13684.1</v>
      </c>
      <c r="E5" s="31">
        <v>13990.28</v>
      </c>
      <c r="F5" s="31">
        <v>15423.2</v>
      </c>
      <c r="G5" s="31">
        <v>10987.89</v>
      </c>
      <c r="H5" s="31">
        <v>10535.08</v>
      </c>
      <c r="I5" s="31">
        <v>8334.7999999999993</v>
      </c>
      <c r="J5" s="31">
        <v>7233.52</v>
      </c>
      <c r="K5" s="1"/>
      <c r="L5" s="2"/>
      <c r="M5" s="1"/>
      <c r="N5" s="2"/>
      <c r="O5" s="1"/>
      <c r="P5" s="2"/>
      <c r="Q5" s="1"/>
    </row>
    <row r="6" spans="1:17" ht="18" x14ac:dyDescent="0.2">
      <c r="A6" s="5" t="s">
        <v>33</v>
      </c>
      <c r="B6" s="8">
        <v>42.97</v>
      </c>
      <c r="C6" s="8">
        <v>51.82</v>
      </c>
      <c r="D6" s="8">
        <v>29.46</v>
      </c>
      <c r="E6" s="8">
        <v>64.5</v>
      </c>
      <c r="F6" s="8">
        <v>72.58</v>
      </c>
      <c r="G6" s="8">
        <v>81.95</v>
      </c>
      <c r="H6" s="8">
        <v>74.349999999999994</v>
      </c>
      <c r="I6" s="8">
        <v>77.39</v>
      </c>
      <c r="J6" s="8">
        <v>46.72</v>
      </c>
      <c r="K6" s="1"/>
      <c r="L6" s="2"/>
      <c r="M6" s="1"/>
      <c r="N6" s="16"/>
      <c r="O6" s="1"/>
      <c r="P6" s="16"/>
      <c r="Q6" s="1"/>
    </row>
    <row r="7" spans="1:17" ht="18" x14ac:dyDescent="0.2">
      <c r="A7" s="5" t="s">
        <v>34</v>
      </c>
      <c r="B7" s="8">
        <v>62.1</v>
      </c>
      <c r="C7" s="8">
        <v>69.489999999999995</v>
      </c>
      <c r="D7" s="8">
        <v>86.9</v>
      </c>
      <c r="E7" s="8">
        <v>110.53</v>
      </c>
      <c r="F7" s="8">
        <v>111.65</v>
      </c>
      <c r="G7" s="8">
        <v>547.44000000000005</v>
      </c>
      <c r="H7" s="8">
        <v>573.05999999999995</v>
      </c>
      <c r="I7" s="8">
        <v>477.14</v>
      </c>
      <c r="J7" s="8">
        <v>384.77</v>
      </c>
      <c r="K7" s="1"/>
      <c r="L7" s="2"/>
      <c r="M7" s="1"/>
      <c r="N7" s="2"/>
      <c r="O7" s="1"/>
      <c r="P7" s="2"/>
      <c r="Q7" s="1"/>
    </row>
    <row r="8" spans="1:17" x14ac:dyDescent="0.2">
      <c r="A8" s="4" t="s">
        <v>6</v>
      </c>
      <c r="B8" s="9"/>
    </row>
    <row r="9" spans="1:17" x14ac:dyDescent="0.2">
      <c r="B9" s="11"/>
      <c r="C9" s="11"/>
      <c r="D9" s="11"/>
      <c r="E9" s="11"/>
    </row>
    <row r="10" spans="1:17" x14ac:dyDescent="0.2">
      <c r="A10" s="4" t="s">
        <v>9</v>
      </c>
      <c r="B10" s="11"/>
      <c r="C10" s="11"/>
      <c r="D10" s="11"/>
      <c r="E10" s="11"/>
    </row>
    <row r="11" spans="1:17" ht="18" x14ac:dyDescent="0.2">
      <c r="A11" s="5" t="s">
        <v>7</v>
      </c>
      <c r="B11" s="31">
        <v>4778.9799999999996</v>
      </c>
      <c r="C11" s="31">
        <v>4427.7</v>
      </c>
      <c r="D11" s="31">
        <v>17506.099999999999</v>
      </c>
      <c r="E11" s="31">
        <v>17351.759999999998</v>
      </c>
      <c r="F11" s="31">
        <v>16826.490000000002</v>
      </c>
      <c r="G11" s="31">
        <v>12336.25</v>
      </c>
      <c r="H11" s="31">
        <v>10859.18</v>
      </c>
      <c r="I11" s="31">
        <v>9731</v>
      </c>
      <c r="J11" s="31">
        <v>9308.48</v>
      </c>
      <c r="P11" s="16"/>
      <c r="Q11" s="1"/>
    </row>
    <row r="12" spans="1:17" ht="18" x14ac:dyDescent="0.2">
      <c r="A12" s="5" t="s">
        <v>8</v>
      </c>
      <c r="B12" s="31">
        <v>6741.83</v>
      </c>
      <c r="C12" s="31">
        <v>6801.34</v>
      </c>
      <c r="D12" s="31">
        <v>1397.95</v>
      </c>
      <c r="E12" s="31">
        <v>1688.32</v>
      </c>
      <c r="F12" s="31">
        <v>1638.34</v>
      </c>
      <c r="G12" s="31">
        <v>1219.8499999999999</v>
      </c>
      <c r="H12" s="31">
        <v>1080.48</v>
      </c>
      <c r="I12" s="31">
        <v>1031.03</v>
      </c>
      <c r="J12" s="8">
        <v>948.5</v>
      </c>
      <c r="P12" s="2"/>
      <c r="Q12" s="1"/>
    </row>
    <row r="13" spans="1:17" ht="18" x14ac:dyDescent="0.2">
      <c r="A13" s="5" t="s">
        <v>24</v>
      </c>
      <c r="B13" s="31">
        <v>4926.0600000000004</v>
      </c>
      <c r="C13" s="31">
        <v>4257.3999999999996</v>
      </c>
      <c r="D13" s="31">
        <v>4073.51</v>
      </c>
      <c r="E13" s="31">
        <v>3634.36</v>
      </c>
      <c r="F13" s="31">
        <v>4256.13</v>
      </c>
      <c r="G13" s="31">
        <v>3945.15</v>
      </c>
      <c r="H13" s="31">
        <v>4000.78</v>
      </c>
      <c r="I13" s="31">
        <v>3581.18</v>
      </c>
      <c r="J13" s="31">
        <v>3328.22</v>
      </c>
      <c r="P13" s="2"/>
      <c r="Q13" s="1"/>
    </row>
    <row r="14" spans="1:17" x14ac:dyDescent="0.2">
      <c r="B14" s="11"/>
      <c r="C14" s="11"/>
      <c r="D14" s="11"/>
    </row>
    <row r="15" spans="1:17" ht="18" x14ac:dyDescent="0.2">
      <c r="A15" s="5" t="s">
        <v>32</v>
      </c>
      <c r="B15" s="8">
        <v>886.24</v>
      </c>
      <c r="C15" s="8">
        <v>-397.03</v>
      </c>
      <c r="D15" s="8">
        <v>-2156.38</v>
      </c>
      <c r="E15" s="31">
        <v>-2005.55</v>
      </c>
      <c r="F15" s="31">
        <v>-1816.56</v>
      </c>
      <c r="G15" s="8">
        <v>717.23</v>
      </c>
      <c r="H15" s="31">
        <v>1024.3599999999999</v>
      </c>
      <c r="I15" s="8">
        <v>584.70000000000005</v>
      </c>
      <c r="J15" s="8">
        <v>422.99</v>
      </c>
      <c r="K15" s="1"/>
      <c r="L15" s="20"/>
      <c r="M15" s="1"/>
      <c r="N15" s="3"/>
      <c r="O15" s="1"/>
      <c r="P15" s="3"/>
      <c r="Q15" s="1"/>
    </row>
    <row r="16" spans="1:17" ht="18" x14ac:dyDescent="0.2">
      <c r="A16" s="5" t="s">
        <v>23</v>
      </c>
      <c r="B16" s="8">
        <v>805.74</v>
      </c>
      <c r="C16" s="8">
        <v>-123.85</v>
      </c>
      <c r="D16" s="8">
        <v>-630.34</v>
      </c>
      <c r="E16" s="8">
        <v>-682.7</v>
      </c>
      <c r="F16" s="31">
        <v>-1521.26</v>
      </c>
      <c r="G16" s="31">
        <v>1210.1199999999999</v>
      </c>
      <c r="H16" s="31">
        <v>1218.8</v>
      </c>
      <c r="I16" s="8">
        <v>925.05</v>
      </c>
      <c r="J16" s="8">
        <v>849.87</v>
      </c>
      <c r="K16" s="1"/>
      <c r="L16" s="16"/>
      <c r="M16" s="1"/>
      <c r="N16" s="16"/>
      <c r="O16" s="1"/>
      <c r="P16" s="16"/>
      <c r="Q16" s="1"/>
    </row>
    <row r="17" spans="1:10" x14ac:dyDescent="0.2">
      <c r="A17" s="5" t="s">
        <v>25</v>
      </c>
      <c r="B17" s="11">
        <v>0.10879999999999999</v>
      </c>
      <c r="C17" s="11">
        <v>0.13039999999999999</v>
      </c>
      <c r="D17" s="11">
        <v>0.1239</v>
      </c>
      <c r="E17" s="11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0" x14ac:dyDescent="0.2">
      <c r="B18" s="11"/>
      <c r="C18" s="11"/>
      <c r="D18" s="11"/>
      <c r="H18" s="11"/>
      <c r="J18" s="11"/>
    </row>
    <row r="19" spans="1:10" x14ac:dyDescent="0.2">
      <c r="A19" s="5" t="s">
        <v>35</v>
      </c>
      <c r="C19" s="11"/>
      <c r="D19" s="11"/>
      <c r="H19" s="11"/>
      <c r="J19" s="11"/>
    </row>
    <row r="20" spans="1:10" x14ac:dyDescent="0.2">
      <c r="A20" s="5" t="s">
        <v>36</v>
      </c>
      <c r="D20" s="11"/>
      <c r="F20" s="11"/>
      <c r="H20" s="11"/>
      <c r="J20" s="11"/>
    </row>
    <row r="21" spans="1:10" x14ac:dyDescent="0.2">
      <c r="A21" s="5" t="s">
        <v>37</v>
      </c>
      <c r="D21" s="11"/>
      <c r="F21" s="11"/>
      <c r="H21" s="11"/>
      <c r="J21" s="11"/>
    </row>
    <row r="22" spans="1:10" x14ac:dyDescent="0.2">
      <c r="A22" s="5" t="s">
        <v>38</v>
      </c>
      <c r="D22" s="11"/>
      <c r="F22" s="11"/>
      <c r="H22" s="11"/>
      <c r="J22" s="11"/>
    </row>
    <row r="23" spans="1:10" x14ac:dyDescent="0.2">
      <c r="D23" s="11"/>
      <c r="F23" s="11"/>
      <c r="H23" s="11"/>
      <c r="J23" s="11"/>
    </row>
    <row r="24" spans="1:10" x14ac:dyDescent="0.2">
      <c r="A24" s="5" t="s">
        <v>41</v>
      </c>
      <c r="B24" s="12">
        <v>0.7</v>
      </c>
      <c r="C24" s="12">
        <v>0.73</v>
      </c>
      <c r="D24" s="12">
        <v>0.53</v>
      </c>
      <c r="E24" s="12">
        <v>0.84</v>
      </c>
      <c r="F24" s="12">
        <v>0.81</v>
      </c>
      <c r="G24" s="12">
        <v>0.77</v>
      </c>
      <c r="H24" s="12">
        <v>0.75</v>
      </c>
      <c r="I24" s="12">
        <v>0.75</v>
      </c>
      <c r="J24" s="12">
        <v>0.76</v>
      </c>
    </row>
    <row r="25" spans="1:10" x14ac:dyDescent="0.2"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6" t="s">
        <v>0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7" t="s">
        <v>1</v>
      </c>
      <c r="B28" s="12">
        <f>B2/B3</f>
        <v>0</v>
      </c>
      <c r="C28" s="12">
        <f t="shared" ref="C28:J28" si="0">C2/C3</f>
        <v>0</v>
      </c>
      <c r="D28" s="12">
        <f t="shared" si="0"/>
        <v>0</v>
      </c>
      <c r="E28" s="12">
        <f t="shared" si="0"/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  <c r="I28" s="12">
        <f t="shared" si="0"/>
        <v>0</v>
      </c>
      <c r="J28" s="12">
        <f t="shared" si="0"/>
        <v>0</v>
      </c>
    </row>
    <row r="29" spans="1:10" x14ac:dyDescent="0.2">
      <c r="A29" s="4" t="s">
        <v>2</v>
      </c>
      <c r="B29" s="12">
        <f>B12/B3</f>
        <v>0.40991568608495116</v>
      </c>
      <c r="C29" s="12">
        <f t="shared" ref="C29:J29" si="1">C12/C3</f>
        <v>0.4391806245855242</v>
      </c>
      <c r="D29" s="12">
        <f t="shared" si="1"/>
        <v>6.0839793259162417E-2</v>
      </c>
      <c r="E29" s="12">
        <f t="shared" si="1"/>
        <v>7.445917076673117E-2</v>
      </c>
      <c r="F29" s="12">
        <f t="shared" si="1"/>
        <v>7.2106988437108291E-2</v>
      </c>
      <c r="G29" s="12">
        <f t="shared" si="1"/>
        <v>6.9700735661738442E-2</v>
      </c>
      <c r="H29" s="12">
        <f t="shared" si="1"/>
        <v>6.7782362207293029E-2</v>
      </c>
      <c r="I29" s="12">
        <f t="shared" si="1"/>
        <v>7.1882793321718083E-2</v>
      </c>
      <c r="J29" s="12">
        <f t="shared" si="1"/>
        <v>6.9545618186124161E-2</v>
      </c>
    </row>
    <row r="30" spans="1:10" x14ac:dyDescent="0.2">
      <c r="A30" s="4" t="s">
        <v>3</v>
      </c>
      <c r="B30" s="12">
        <f>B11/B3</f>
        <v>0.29057078945720372</v>
      </c>
      <c r="C30" s="12">
        <f t="shared" ref="C30:J30" si="2">C11/C3</f>
        <v>0.28590837268498936</v>
      </c>
      <c r="D30" s="12">
        <f t="shared" si="2"/>
        <v>0.76187811064360178</v>
      </c>
      <c r="E30" s="12">
        <f t="shared" si="2"/>
        <v>0.76525638560423104</v>
      </c>
      <c r="F30" s="12">
        <f t="shared" si="2"/>
        <v>0.74057126107347582</v>
      </c>
      <c r="G30" s="12">
        <f t="shared" si="2"/>
        <v>0.70487822298407254</v>
      </c>
      <c r="H30" s="12">
        <f t="shared" si="2"/>
        <v>0.68123507333240074</v>
      </c>
      <c r="I30" s="12">
        <f t="shared" si="2"/>
        <v>0.6784394846063051</v>
      </c>
      <c r="J30" s="12">
        <f t="shared" si="2"/>
        <v>0.6825134380318113</v>
      </c>
    </row>
    <row r="31" spans="1:10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">
      <c r="A33" s="6" t="s">
        <v>14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">
      <c r="A34" s="7" t="s">
        <v>39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7" t="s">
        <v>15</v>
      </c>
      <c r="B35" s="12">
        <f>B34/B3</f>
        <v>0</v>
      </c>
      <c r="C35" s="12">
        <f t="shared" ref="C35:J35" si="3">C34/C3</f>
        <v>0</v>
      </c>
      <c r="D35" s="12">
        <f t="shared" si="3"/>
        <v>0</v>
      </c>
      <c r="E35" s="12">
        <f t="shared" si="3"/>
        <v>0</v>
      </c>
      <c r="F35" s="12">
        <f t="shared" si="3"/>
        <v>0</v>
      </c>
      <c r="G35" s="12">
        <f t="shared" si="3"/>
        <v>0</v>
      </c>
      <c r="H35" s="12">
        <f t="shared" si="3"/>
        <v>0</v>
      </c>
      <c r="I35" s="12">
        <f t="shared" si="3"/>
        <v>0</v>
      </c>
      <c r="J35" s="12">
        <f t="shared" si="3"/>
        <v>0</v>
      </c>
    </row>
    <row r="36" spans="1:10" x14ac:dyDescent="0.2">
      <c r="A36" s="4" t="s">
        <v>16</v>
      </c>
      <c r="B36" s="12">
        <f>B16-(B13*B17)</f>
        <v>269.784672</v>
      </c>
      <c r="C36" s="12">
        <f t="shared" ref="C36:J36" si="4">C16-(C13*C17)</f>
        <v>-679.01495999999997</v>
      </c>
      <c r="D36" s="12">
        <f t="shared" si="4"/>
        <v>-1135.0478889999999</v>
      </c>
      <c r="E36" s="12">
        <f t="shared" si="4"/>
        <v>-843.3387120000001</v>
      </c>
      <c r="F36" s="12">
        <f t="shared" si="4"/>
        <v>-1638.729188</v>
      </c>
      <c r="G36" s="12">
        <f t="shared" si="4"/>
        <v>974.98905999999988</v>
      </c>
      <c r="H36" s="12">
        <f t="shared" si="4"/>
        <v>961.54984599999989</v>
      </c>
      <c r="I36" s="12">
        <f t="shared" si="4"/>
        <v>569.08070799999996</v>
      </c>
      <c r="J36" s="12">
        <f t="shared" si="4"/>
        <v>383.25355600000006</v>
      </c>
    </row>
    <row r="37" spans="1:10" x14ac:dyDescent="0.2">
      <c r="A37" s="5" t="s">
        <v>17</v>
      </c>
      <c r="B37" s="12">
        <v>4.9000000000000002E-2</v>
      </c>
      <c r="C37" s="12">
        <v>-8.0000000000000002E-3</v>
      </c>
      <c r="D37" s="12">
        <v>-1.83E-2</v>
      </c>
      <c r="E37" s="12">
        <v>-3.0099999999999998E-2</v>
      </c>
      <c r="F37" s="12">
        <v>-6.7000000000000004E-2</v>
      </c>
      <c r="G37" s="12">
        <v>6.9099999999999995E-2</v>
      </c>
      <c r="H37" s="12">
        <v>7.6499999999999999E-2</v>
      </c>
      <c r="I37" s="12">
        <v>6.4500000000000002E-2</v>
      </c>
      <c r="J37" s="12">
        <v>6.2300000000000001E-2</v>
      </c>
    </row>
    <row r="38" spans="1:10" x14ac:dyDescent="0.2">
      <c r="A38" s="5" t="s">
        <v>18</v>
      </c>
      <c r="B38" s="12">
        <v>0.1636</v>
      </c>
      <c r="C38" s="12">
        <v>-2.9100000000000001E-2</v>
      </c>
      <c r="D38" s="12">
        <v>-9.69E-2</v>
      </c>
      <c r="E38" s="12">
        <v>-0.18779999999999999</v>
      </c>
      <c r="F38" s="12">
        <v>-0.3574</v>
      </c>
      <c r="G38" s="12">
        <v>0.30669999999999997</v>
      </c>
      <c r="H38" s="12">
        <v>0.30459999999999998</v>
      </c>
      <c r="I38" s="12">
        <v>0.25829999999999997</v>
      </c>
      <c r="J38" s="12">
        <v>0.25540000000000002</v>
      </c>
    </row>
    <row r="39" spans="1:10" x14ac:dyDescent="0.2">
      <c r="A39" s="13" t="s">
        <v>19</v>
      </c>
      <c r="B39" s="12">
        <v>0.13300000000000001</v>
      </c>
      <c r="C39" s="12">
        <v>-2.1399999999999999E-2</v>
      </c>
      <c r="D39" s="12">
        <v>-5.9799999999999999E-2</v>
      </c>
      <c r="E39" s="12">
        <v>-8.5500000000000007E-2</v>
      </c>
      <c r="F39" s="12">
        <v>-0.1794</v>
      </c>
      <c r="G39" s="12">
        <v>0.18310000000000001</v>
      </c>
      <c r="H39" s="12">
        <v>0.2114</v>
      </c>
      <c r="I39" s="12">
        <v>0.1953</v>
      </c>
      <c r="J39" s="12">
        <v>0.20469999999999999</v>
      </c>
    </row>
    <row r="40" spans="1:10" x14ac:dyDescent="0.2">
      <c r="A40" s="5" t="s">
        <v>20</v>
      </c>
      <c r="B40" s="12">
        <v>1.05</v>
      </c>
      <c r="C40" s="12">
        <v>0.75</v>
      </c>
      <c r="D40" s="12">
        <v>0.94</v>
      </c>
      <c r="E40" s="12">
        <v>0.81</v>
      </c>
      <c r="F40" s="12">
        <v>0.92</v>
      </c>
      <c r="G40" s="12">
        <v>0.89</v>
      </c>
      <c r="H40" s="12">
        <v>0.97</v>
      </c>
      <c r="I40" s="12">
        <v>0.86</v>
      </c>
      <c r="J40" s="12">
        <v>0.78</v>
      </c>
    </row>
    <row r="41" spans="1:10" x14ac:dyDescent="0.2">
      <c r="A41" s="4" t="s">
        <v>21</v>
      </c>
      <c r="B41" s="12">
        <f>(B5+B4)/(B11+B12)</f>
        <v>1.4071232838663255</v>
      </c>
      <c r="C41" s="12">
        <f t="shared" ref="C41:J41" si="5">(C5+C4)/(C11+C12)</f>
        <v>1.3577429593268879</v>
      </c>
      <c r="D41" s="12">
        <f t="shared" si="5"/>
        <v>1.2037304175560264</v>
      </c>
      <c r="E41" s="12">
        <f t="shared" si="5"/>
        <v>1.1772161671589616</v>
      </c>
      <c r="F41" s="12">
        <f t="shared" si="5"/>
        <v>1.216954068897466</v>
      </c>
      <c r="G41" s="12">
        <f t="shared" si="5"/>
        <v>1.2412980134404437</v>
      </c>
      <c r="H41" s="12">
        <f t="shared" si="5"/>
        <v>1.2772767398736649</v>
      </c>
      <c r="I41" s="12">
        <f t="shared" si="5"/>
        <v>1.2765900113640269</v>
      </c>
      <c r="J41" s="12">
        <f t="shared" si="5"/>
        <v>1.2815438852371752</v>
      </c>
    </row>
    <row r="42" spans="1:10" x14ac:dyDescent="0.2"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">
      <c r="A43" s="6" t="s">
        <v>26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4" t="s">
        <v>27</v>
      </c>
      <c r="B44" s="12">
        <f>LOG10(B3)</f>
        <v>4.2160832596678679</v>
      </c>
      <c r="C44" s="12">
        <f t="shared" ref="C44:J44" si="6">LOG10(C3)</f>
        <v>4.1899513138216475</v>
      </c>
      <c r="D44" s="12">
        <f t="shared" si="6"/>
        <v>4.3613039088258185</v>
      </c>
      <c r="E44" s="12">
        <f t="shared" si="6"/>
        <v>4.3555365699145758</v>
      </c>
      <c r="F44" s="12">
        <f t="shared" si="6"/>
        <v>4.3564266771223723</v>
      </c>
      <c r="G44" s="12">
        <f t="shared" si="6"/>
        <v>4.2430690686128747</v>
      </c>
      <c r="H44" s="12">
        <f t="shared" si="6"/>
        <v>4.2025000324997679</v>
      </c>
      <c r="I44" s="12">
        <f t="shared" si="6"/>
        <v>4.1566463569996772</v>
      </c>
      <c r="J44" s="12">
        <f t="shared" si="6"/>
        <v>4.1347675633342318</v>
      </c>
    </row>
    <row r="45" spans="1:10" x14ac:dyDescent="0.2">
      <c r="A45" s="4" t="s">
        <v>28</v>
      </c>
      <c r="B45" s="12">
        <f>B15-B16</f>
        <v>80.5</v>
      </c>
      <c r="C45" s="12">
        <f t="shared" ref="C45:J45" si="7">C15-C16</f>
        <v>-273.17999999999995</v>
      </c>
      <c r="D45" s="12">
        <f t="shared" si="7"/>
        <v>-1526.04</v>
      </c>
      <c r="E45" s="12">
        <f t="shared" si="7"/>
        <v>-1322.85</v>
      </c>
      <c r="F45" s="12">
        <f t="shared" si="7"/>
        <v>-295.29999999999995</v>
      </c>
      <c r="G45" s="12">
        <f t="shared" si="7"/>
        <v>-492.88999999999987</v>
      </c>
      <c r="H45" s="12">
        <f t="shared" si="7"/>
        <v>-194.44000000000005</v>
      </c>
      <c r="I45" s="12">
        <f t="shared" si="7"/>
        <v>-340.34999999999991</v>
      </c>
      <c r="J45" s="12">
        <f t="shared" si="7"/>
        <v>-426.88</v>
      </c>
    </row>
    <row r="46" spans="1:10" x14ac:dyDescent="0.2">
      <c r="A46" s="4" t="s">
        <v>29</v>
      </c>
      <c r="B46" s="12">
        <f>(B6+B7)/B3</f>
        <v>6.3884495955765447E-3</v>
      </c>
      <c r="C46" s="12">
        <f t="shared" ref="C46:J46" si="8">(C6+C7)/C3</f>
        <v>7.8333095490697342E-3</v>
      </c>
      <c r="D46" s="12">
        <f t="shared" si="8"/>
        <v>5.0640712068644369E-3</v>
      </c>
      <c r="E46" s="12">
        <f t="shared" si="8"/>
        <v>7.7192645110529751E-3</v>
      </c>
      <c r="F46" s="12">
        <f t="shared" si="8"/>
        <v>8.1083721814571227E-3</v>
      </c>
      <c r="G46" s="12">
        <f t="shared" si="8"/>
        <v>3.5962574101849873E-2</v>
      </c>
      <c r="H46" s="12">
        <f t="shared" si="8"/>
        <v>4.0614337254390252E-2</v>
      </c>
      <c r="I46" s="12">
        <f t="shared" si="8"/>
        <v>3.8661499064714243E-2</v>
      </c>
      <c r="J46" s="12">
        <f t="shared" si="8"/>
        <v>3.1637573844101964E-2</v>
      </c>
    </row>
    <row r="47" spans="1:10" x14ac:dyDescent="0.2">
      <c r="A47" s="7" t="s">
        <v>30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">
      <c r="A48" s="7" t="s">
        <v>31</v>
      </c>
      <c r="B48" s="12">
        <f>(B3-B13+B34)/B3</f>
        <v>0.70048647554215471</v>
      </c>
      <c r="C48" s="12">
        <f t="shared" ref="C48:J48" si="9">(C3-C13+C34)/C3</f>
        <v>0.72508835154390006</v>
      </c>
      <c r="D48" s="12">
        <f t="shared" si="9"/>
        <v>0.82271790390276434</v>
      </c>
      <c r="E48" s="12">
        <f t="shared" si="9"/>
        <v>0.83971555637096218</v>
      </c>
      <c r="F48" s="12">
        <f t="shared" si="9"/>
        <v>0.81267824951058398</v>
      </c>
      <c r="G48" s="12">
        <f t="shared" si="9"/>
        <v>0.77457895864581106</v>
      </c>
      <c r="H48" s="12">
        <f t="shared" si="9"/>
        <v>0.74901680820404459</v>
      </c>
      <c r="I48" s="12">
        <f t="shared" si="9"/>
        <v>0.75032227792802308</v>
      </c>
      <c r="J48" s="12">
        <f t="shared" si="9"/>
        <v>0.75596930167694032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4391-429A-9445-A421-3FA972F891FA}">
  <dimension ref="A1:Q48"/>
  <sheetViews>
    <sheetView topLeftCell="A21" workbookViewId="0">
      <selection activeCell="J48" sqref="A24:J48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7" x14ac:dyDescent="0.2">
      <c r="A1" s="4" t="s">
        <v>12</v>
      </c>
      <c r="B1" s="9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7" x14ac:dyDescent="0.2">
      <c r="A2" s="4" t="s">
        <v>13</v>
      </c>
      <c r="B2" s="9"/>
      <c r="C2" s="10"/>
      <c r="E2" s="10"/>
      <c r="G2" s="10"/>
      <c r="I2" s="10"/>
    </row>
    <row r="3" spans="1:17" ht="18" x14ac:dyDescent="0.2">
      <c r="A3" s="5" t="s">
        <v>4</v>
      </c>
      <c r="B3" s="12">
        <v>47913.74</v>
      </c>
      <c r="C3" s="12">
        <v>44239.6</v>
      </c>
      <c r="D3" s="12">
        <v>50490.92</v>
      </c>
      <c r="E3" s="12">
        <v>41629.24</v>
      </c>
      <c r="F3" s="12">
        <v>36730.199999999997</v>
      </c>
      <c r="G3" s="12">
        <v>32711.3</v>
      </c>
      <c r="H3" s="12">
        <v>30560.959999999999</v>
      </c>
      <c r="I3" s="12">
        <v>28978.13</v>
      </c>
      <c r="J3" s="12">
        <v>25356.71</v>
      </c>
      <c r="K3" s="1"/>
      <c r="L3" s="2"/>
      <c r="M3" s="1"/>
      <c r="N3" s="2"/>
      <c r="O3" s="1"/>
      <c r="P3" s="16"/>
      <c r="Q3" s="1"/>
    </row>
    <row r="4" spans="1:17" ht="18" x14ac:dyDescent="0.2">
      <c r="A4" s="5" t="s">
        <v>22</v>
      </c>
      <c r="B4" s="12">
        <v>16256.11</v>
      </c>
      <c r="C4" s="12">
        <v>11746.6</v>
      </c>
      <c r="D4" s="12">
        <v>11235.04</v>
      </c>
      <c r="E4" s="12">
        <v>8964.93</v>
      </c>
      <c r="F4" s="12">
        <v>7545.12</v>
      </c>
      <c r="G4" s="12">
        <v>6074.99</v>
      </c>
      <c r="H4" s="12">
        <v>4975.1099999999997</v>
      </c>
      <c r="I4" s="12">
        <v>3523.88</v>
      </c>
      <c r="J4" s="12">
        <v>2853.59</v>
      </c>
      <c r="K4" s="1"/>
      <c r="L4" s="2"/>
      <c r="M4" s="1"/>
      <c r="N4" s="16"/>
      <c r="O4" s="1"/>
      <c r="P4" s="16"/>
      <c r="Q4" s="1"/>
    </row>
    <row r="5" spans="1:17" ht="18" x14ac:dyDescent="0.2">
      <c r="A5" s="5" t="s">
        <v>5</v>
      </c>
      <c r="B5" s="12">
        <v>26288.83</v>
      </c>
      <c r="C5" s="12">
        <v>26456.06</v>
      </c>
      <c r="D5" s="12">
        <v>32647.49</v>
      </c>
      <c r="E5" s="12">
        <v>27311.58</v>
      </c>
      <c r="F5" s="12">
        <v>25135.040000000001</v>
      </c>
      <c r="G5" s="12">
        <v>22783.78</v>
      </c>
      <c r="H5" s="12">
        <v>21952.36</v>
      </c>
      <c r="I5" s="12">
        <v>21857.94</v>
      </c>
      <c r="J5" s="12">
        <v>19135.43</v>
      </c>
      <c r="K5" s="1"/>
      <c r="L5" s="2"/>
      <c r="M5" s="1"/>
      <c r="N5" s="2"/>
      <c r="O5" s="1"/>
      <c r="P5" s="2"/>
      <c r="Q5" s="1"/>
    </row>
    <row r="6" spans="1:17" ht="18" x14ac:dyDescent="0.2">
      <c r="A6" s="5" t="s">
        <v>33</v>
      </c>
      <c r="B6" s="12">
        <v>1017.7</v>
      </c>
      <c r="C6" s="12">
        <v>1670.85</v>
      </c>
      <c r="D6" s="12">
        <v>2365.61</v>
      </c>
      <c r="E6" s="12">
        <v>2256.42</v>
      </c>
      <c r="F6" s="12">
        <v>1754.23</v>
      </c>
      <c r="G6" s="12">
        <v>1683.4</v>
      </c>
      <c r="H6" s="12">
        <v>1533.15</v>
      </c>
      <c r="I6" s="12">
        <v>1636.47</v>
      </c>
      <c r="J6" s="12">
        <v>1535.6</v>
      </c>
      <c r="K6" s="1"/>
      <c r="L6" s="2"/>
      <c r="M6" s="1"/>
      <c r="N6" s="16"/>
      <c r="O6" s="1"/>
      <c r="P6" s="16"/>
      <c r="Q6" s="1"/>
    </row>
    <row r="7" spans="1:17" ht="18" x14ac:dyDescent="0.2">
      <c r="A7" s="5" t="s">
        <v>34</v>
      </c>
      <c r="B7" s="12">
        <v>533.16999999999996</v>
      </c>
      <c r="C7" s="12">
        <v>549.02</v>
      </c>
      <c r="D7" s="12">
        <v>599.91</v>
      </c>
      <c r="E7" s="12">
        <v>717.63</v>
      </c>
      <c r="F7" s="12">
        <v>139.69999999999999</v>
      </c>
      <c r="G7" s="12">
        <v>132.47999999999999</v>
      </c>
      <c r="H7" s="12">
        <v>99.23</v>
      </c>
      <c r="I7" s="12">
        <v>8.36</v>
      </c>
      <c r="J7" s="12">
        <v>8.5500000000000007</v>
      </c>
      <c r="K7" s="1"/>
      <c r="L7" s="2"/>
      <c r="M7" s="1"/>
      <c r="N7" s="2"/>
      <c r="O7" s="1"/>
      <c r="P7" s="2"/>
      <c r="Q7" s="1"/>
    </row>
    <row r="8" spans="1:17" x14ac:dyDescent="0.2">
      <c r="A8" s="4" t="s">
        <v>6</v>
      </c>
      <c r="B8" s="32"/>
      <c r="C8" s="12"/>
      <c r="D8" s="12"/>
      <c r="E8" s="12"/>
      <c r="F8" s="12"/>
      <c r="G8" s="12"/>
      <c r="H8" s="12"/>
      <c r="I8" s="12"/>
      <c r="J8" s="12"/>
    </row>
    <row r="9" spans="1:17" x14ac:dyDescent="0.2">
      <c r="B9" s="12"/>
      <c r="C9" s="12"/>
      <c r="D9" s="12"/>
      <c r="E9" s="12"/>
      <c r="F9" s="12"/>
      <c r="G9" s="12"/>
      <c r="H9" s="12"/>
      <c r="I9" s="12"/>
      <c r="J9" s="12"/>
    </row>
    <row r="10" spans="1:17" x14ac:dyDescent="0.2">
      <c r="A10" s="4" t="s">
        <v>9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7" ht="18" x14ac:dyDescent="0.2">
      <c r="A11" s="5" t="s">
        <v>7</v>
      </c>
      <c r="B11" s="12">
        <v>22875.03</v>
      </c>
      <c r="C11" s="12">
        <v>23359.57</v>
      </c>
      <c r="D11" s="12">
        <v>30083.23</v>
      </c>
      <c r="E11" s="12">
        <v>24959.48</v>
      </c>
      <c r="F11" s="12">
        <v>20806.61</v>
      </c>
      <c r="G11" s="12">
        <v>18000.7</v>
      </c>
      <c r="H11" s="12">
        <v>16798.88</v>
      </c>
      <c r="I11" s="12">
        <v>15619.24</v>
      </c>
      <c r="J11" s="12">
        <v>0</v>
      </c>
      <c r="P11" s="16"/>
      <c r="Q11" s="1"/>
    </row>
    <row r="12" spans="1:17" ht="18" x14ac:dyDescent="0.2">
      <c r="A12" s="5" t="s">
        <v>8</v>
      </c>
      <c r="B12" s="12">
        <v>10893.31</v>
      </c>
      <c r="C12" s="12">
        <v>8382.24</v>
      </c>
      <c r="D12" s="12">
        <v>9766.64</v>
      </c>
      <c r="E12" s="12">
        <v>7305.03</v>
      </c>
      <c r="F12" s="12">
        <v>6956.47</v>
      </c>
      <c r="G12" s="12">
        <v>6440.81</v>
      </c>
      <c r="H12" s="12">
        <v>6118.36</v>
      </c>
      <c r="I12" s="12">
        <v>5642.79</v>
      </c>
      <c r="J12" s="12">
        <v>4050.47</v>
      </c>
      <c r="P12" s="2"/>
      <c r="Q12" s="1"/>
    </row>
    <row r="13" spans="1:17" ht="18" x14ac:dyDescent="0.2">
      <c r="A13" s="5" t="s">
        <v>24</v>
      </c>
      <c r="B13" s="12">
        <v>14145.4</v>
      </c>
      <c r="C13" s="12">
        <v>12497.8</v>
      </c>
      <c r="D13" s="12">
        <v>10641.06</v>
      </c>
      <c r="E13" s="12">
        <v>9364.73</v>
      </c>
      <c r="F13" s="12">
        <v>8967.1299999999992</v>
      </c>
      <c r="G13" s="12">
        <v>8269.7800000000007</v>
      </c>
      <c r="H13" s="12">
        <v>7643.72</v>
      </c>
      <c r="I13" s="12">
        <v>7716.1</v>
      </c>
      <c r="J13" s="12">
        <v>7000.8</v>
      </c>
      <c r="P13" s="2"/>
      <c r="Q13" s="1"/>
    </row>
    <row r="14" spans="1:17" x14ac:dyDescent="0.2">
      <c r="B14" s="12"/>
      <c r="C14" s="12"/>
      <c r="D14" s="12"/>
      <c r="E14" s="12"/>
      <c r="F14" s="12"/>
      <c r="G14" s="12"/>
      <c r="H14" s="12"/>
      <c r="I14" s="12"/>
      <c r="J14" s="12"/>
    </row>
    <row r="15" spans="1:17" ht="18" x14ac:dyDescent="0.2">
      <c r="A15" s="5" t="s">
        <v>32</v>
      </c>
      <c r="B15" s="25">
        <v>3479.27</v>
      </c>
      <c r="C15" s="25">
        <v>4805.79</v>
      </c>
      <c r="D15" s="25">
        <v>1467.47</v>
      </c>
      <c r="E15" s="25">
        <v>1466.12</v>
      </c>
      <c r="F15" s="25">
        <v>1912.04</v>
      </c>
      <c r="G15" s="25">
        <v>1225.31</v>
      </c>
      <c r="H15" s="12">
        <v>1240.1500000000001</v>
      </c>
      <c r="I15" s="12">
        <v>401.94</v>
      </c>
      <c r="J15" s="12">
        <v>119.51</v>
      </c>
      <c r="K15" s="1"/>
      <c r="L15" s="20"/>
      <c r="M15" s="1"/>
      <c r="N15" s="3"/>
      <c r="O15" s="1"/>
      <c r="P15" s="3"/>
      <c r="Q15" s="1"/>
    </row>
    <row r="16" spans="1:17" ht="18" x14ac:dyDescent="0.2">
      <c r="A16" s="5" t="s">
        <v>23</v>
      </c>
      <c r="B16" s="12">
        <v>2690.78</v>
      </c>
      <c r="C16" s="12">
        <v>2314.86</v>
      </c>
      <c r="D16" s="12">
        <v>1152.29</v>
      </c>
      <c r="E16" s="12">
        <v>1544.26</v>
      </c>
      <c r="F16" s="12">
        <v>1688.22</v>
      </c>
      <c r="G16" s="12">
        <v>1379.11</v>
      </c>
      <c r="H16" s="12">
        <v>1309.3800000000001</v>
      </c>
      <c r="I16" s="12">
        <v>1098.24</v>
      </c>
      <c r="J16" s="12">
        <v>911.35</v>
      </c>
      <c r="K16" s="1"/>
      <c r="L16" s="16"/>
      <c r="M16" s="1"/>
      <c r="N16" s="16"/>
      <c r="O16" s="1"/>
      <c r="P16" s="16"/>
      <c r="Q16" s="1"/>
    </row>
    <row r="17" spans="1:10" x14ac:dyDescent="0.2">
      <c r="A17" s="5" t="s">
        <v>25</v>
      </c>
      <c r="B17" s="11">
        <v>0.10879999999999999</v>
      </c>
      <c r="C17" s="11">
        <v>0.13039999999999999</v>
      </c>
      <c r="D17" s="11">
        <v>0.1239</v>
      </c>
      <c r="E17" s="11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0" x14ac:dyDescent="0.2"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">
      <c r="A19" s="5" t="s">
        <v>35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2">
      <c r="A20" s="5" t="s">
        <v>36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">
      <c r="A21" s="5" t="s">
        <v>37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2">
      <c r="A22" s="5" t="s">
        <v>38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2">
      <c r="A23" s="5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2">
      <c r="A24" s="5" t="s">
        <v>41</v>
      </c>
      <c r="B24" s="12">
        <v>0.7</v>
      </c>
      <c r="C24" s="12">
        <v>0.72</v>
      </c>
      <c r="D24" s="12">
        <v>0.79</v>
      </c>
      <c r="E24" s="12">
        <v>0.8</v>
      </c>
      <c r="F24" s="12">
        <v>0.76</v>
      </c>
      <c r="G24" s="12">
        <v>0.75</v>
      </c>
      <c r="H24" s="12">
        <v>0.75</v>
      </c>
      <c r="I24" s="12">
        <v>0.73</v>
      </c>
      <c r="J24" s="12">
        <v>0.72</v>
      </c>
    </row>
    <row r="25" spans="1:10" x14ac:dyDescent="0.2"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6" t="s">
        <v>0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7" t="s">
        <v>1</v>
      </c>
      <c r="B28" s="12">
        <f>B2/B3</f>
        <v>0</v>
      </c>
      <c r="C28" s="12">
        <f t="shared" ref="C28:J28" si="0">C2/C3</f>
        <v>0</v>
      </c>
      <c r="D28" s="12">
        <f t="shared" si="0"/>
        <v>0</v>
      </c>
      <c r="E28" s="12">
        <f t="shared" si="0"/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  <c r="I28" s="12">
        <f t="shared" si="0"/>
        <v>0</v>
      </c>
      <c r="J28" s="12">
        <f t="shared" si="0"/>
        <v>0</v>
      </c>
    </row>
    <row r="29" spans="1:10" x14ac:dyDescent="0.2">
      <c r="A29" s="4" t="s">
        <v>2</v>
      </c>
      <c r="B29" s="12">
        <f>B12/B3</f>
        <v>0.22735252977538384</v>
      </c>
      <c r="C29" s="12">
        <f t="shared" ref="C29:J29" si="1">C12/C3</f>
        <v>0.18947368421052632</v>
      </c>
      <c r="D29" s="12">
        <f t="shared" si="1"/>
        <v>0.19343359162399892</v>
      </c>
      <c r="E29" s="12">
        <f t="shared" si="1"/>
        <v>0.17547834166561774</v>
      </c>
      <c r="F29" s="12">
        <f t="shared" si="1"/>
        <v>0.18939374138991893</v>
      </c>
      <c r="G29" s="12">
        <f t="shared" si="1"/>
        <v>0.19689862524571022</v>
      </c>
      <c r="H29" s="12">
        <f t="shared" si="1"/>
        <v>0.20020182612064541</v>
      </c>
      <c r="I29" s="12">
        <f t="shared" si="1"/>
        <v>0.19472581564096786</v>
      </c>
      <c r="J29" s="12">
        <f t="shared" si="1"/>
        <v>0.15973957189241034</v>
      </c>
    </row>
    <row r="30" spans="1:10" x14ac:dyDescent="0.2">
      <c r="A30" s="4" t="s">
        <v>3</v>
      </c>
      <c r="B30" s="12">
        <f>B11/B3</f>
        <v>0.47742109048469183</v>
      </c>
      <c r="C30" s="12">
        <f t="shared" ref="C30:J30" si="2">C11/C3</f>
        <v>0.52802398755865787</v>
      </c>
      <c r="D30" s="12">
        <f t="shared" si="2"/>
        <v>0.5958146534069888</v>
      </c>
      <c r="E30" s="12">
        <f t="shared" si="2"/>
        <v>0.59956607423051689</v>
      </c>
      <c r="F30" s="12">
        <f t="shared" si="2"/>
        <v>0.56647145945298427</v>
      </c>
      <c r="G30" s="12">
        <f t="shared" si="2"/>
        <v>0.55028996096150262</v>
      </c>
      <c r="H30" s="12">
        <f t="shared" si="2"/>
        <v>0.54968430311089711</v>
      </c>
      <c r="I30" s="12">
        <f t="shared" si="2"/>
        <v>0.53900096383030927</v>
      </c>
      <c r="J30" s="12">
        <f t="shared" si="2"/>
        <v>0</v>
      </c>
    </row>
    <row r="31" spans="1:10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">
      <c r="A33" s="6" t="s">
        <v>14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">
      <c r="A34" s="7" t="s">
        <v>39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7" t="s">
        <v>15</v>
      </c>
      <c r="B35" s="12">
        <f>B34/B3</f>
        <v>0</v>
      </c>
      <c r="C35" s="12">
        <f t="shared" ref="C35:J35" si="3">C34/C3</f>
        <v>0</v>
      </c>
      <c r="D35" s="12">
        <f t="shared" si="3"/>
        <v>0</v>
      </c>
      <c r="E35" s="12">
        <f t="shared" si="3"/>
        <v>0</v>
      </c>
      <c r="F35" s="12">
        <f t="shared" si="3"/>
        <v>0</v>
      </c>
      <c r="G35" s="12">
        <f t="shared" si="3"/>
        <v>0</v>
      </c>
      <c r="H35" s="12">
        <f t="shared" si="3"/>
        <v>0</v>
      </c>
      <c r="I35" s="12">
        <f t="shared" si="3"/>
        <v>0</v>
      </c>
      <c r="J35" s="12">
        <f t="shared" si="3"/>
        <v>0</v>
      </c>
    </row>
    <row r="36" spans="1:10" x14ac:dyDescent="0.2">
      <c r="A36" s="4" t="s">
        <v>16</v>
      </c>
      <c r="B36" s="12">
        <f>B16-(B13*B17)</f>
        <v>1151.7604800000004</v>
      </c>
      <c r="C36" s="12">
        <f t="shared" ref="C36:J36" si="4">C16-(C13*C17)</f>
        <v>685.14688000000046</v>
      </c>
      <c r="D36" s="12">
        <f t="shared" si="4"/>
        <v>-166.13733400000001</v>
      </c>
      <c r="E36" s="12">
        <f t="shared" si="4"/>
        <v>1130.3389339999999</v>
      </c>
      <c r="F36" s="12">
        <f t="shared" si="4"/>
        <v>1440.727212</v>
      </c>
      <c r="G36" s="12">
        <f t="shared" si="4"/>
        <v>886.23111199999994</v>
      </c>
      <c r="H36" s="12">
        <f t="shared" si="4"/>
        <v>817.88880400000016</v>
      </c>
      <c r="I36" s="12">
        <f t="shared" si="4"/>
        <v>331.25965999999994</v>
      </c>
      <c r="J36" s="12">
        <f t="shared" si="4"/>
        <v>-70.162159999999972</v>
      </c>
    </row>
    <row r="37" spans="1:10" x14ac:dyDescent="0.2">
      <c r="A37" s="5" t="s">
        <v>17</v>
      </c>
      <c r="B37" s="12">
        <v>5.5199999999999999E-2</v>
      </c>
      <c r="C37" s="12">
        <v>5.1200000000000002E-2</v>
      </c>
      <c r="D37" s="12">
        <v>2.2599999999999999E-2</v>
      </c>
      <c r="E37" s="12">
        <v>3.7100000000000001E-2</v>
      </c>
      <c r="F37" s="12">
        <v>4.5999999999999999E-2</v>
      </c>
      <c r="G37" s="12">
        <v>4.2200000000000001E-2</v>
      </c>
      <c r="H37" s="12">
        <v>4.2900000000000001E-2</v>
      </c>
      <c r="I37" s="12">
        <v>3.7999999999999999E-2</v>
      </c>
      <c r="J37" s="12">
        <v>3.61E-2</v>
      </c>
    </row>
    <row r="38" spans="1:10" x14ac:dyDescent="0.2">
      <c r="A38" s="5" t="s">
        <v>18</v>
      </c>
      <c r="B38" s="12">
        <v>0.18820000000000001</v>
      </c>
      <c r="C38" s="12">
        <v>0.18129999999999999</v>
      </c>
      <c r="D38" s="12">
        <v>0.1077</v>
      </c>
      <c r="E38" s="12">
        <v>0.16489999999999999</v>
      </c>
      <c r="F38" s="12">
        <v>0.1883</v>
      </c>
      <c r="G38" s="12">
        <v>0.1668</v>
      </c>
      <c r="H38" s="12">
        <v>0.17150000000000001</v>
      </c>
      <c r="I38" s="12">
        <v>0.14269999999999999</v>
      </c>
      <c r="J38" s="12">
        <v>0.1308</v>
      </c>
    </row>
    <row r="39" spans="1:10" x14ac:dyDescent="0.2">
      <c r="A39" s="13" t="s">
        <v>19</v>
      </c>
      <c r="B39" s="12">
        <v>7.4999999999999997E-2</v>
      </c>
      <c r="C39" s="12">
        <v>7.0000000000000007E-2</v>
      </c>
      <c r="D39" s="12">
        <v>4.3200000000000002E-2</v>
      </c>
      <c r="E39" s="12">
        <v>7.2800000000000004E-2</v>
      </c>
      <c r="F39" s="12">
        <v>9.0700000000000003E-2</v>
      </c>
      <c r="G39" s="12">
        <v>7.6300000000000007E-2</v>
      </c>
      <c r="H39" s="12">
        <v>7.3499999999999996E-2</v>
      </c>
      <c r="I39" s="12">
        <v>6.5199999999999994E-2</v>
      </c>
      <c r="J39" s="12">
        <v>5.67E-2</v>
      </c>
    </row>
    <row r="40" spans="1:10" x14ac:dyDescent="0.2">
      <c r="A40" s="5" t="s">
        <v>20</v>
      </c>
      <c r="B40" s="12">
        <v>1.1499999999999999</v>
      </c>
      <c r="C40" s="12">
        <v>1.1299999999999999</v>
      </c>
      <c r="D40" s="12">
        <v>1.0900000000000001</v>
      </c>
      <c r="E40" s="12">
        <v>1.0900000000000001</v>
      </c>
      <c r="F40" s="12">
        <v>1.21</v>
      </c>
      <c r="G40" s="12">
        <v>1.27</v>
      </c>
      <c r="H40" s="12">
        <v>1.31</v>
      </c>
      <c r="I40" s="12">
        <v>1.4</v>
      </c>
      <c r="J40" s="12" t="s">
        <v>40</v>
      </c>
    </row>
    <row r="41" spans="1:10" x14ac:dyDescent="0.2">
      <c r="A41" s="4" t="s">
        <v>21</v>
      </c>
      <c r="B41" s="12">
        <f>(B5+B4)/(B11+B12)</f>
        <v>1.2599061724680576</v>
      </c>
      <c r="C41" s="12">
        <f t="shared" ref="C41:J41" si="5">(C5+C4)/(C11+C12)</f>
        <v>1.2035438432779986</v>
      </c>
      <c r="D41" s="12">
        <f t="shared" si="5"/>
        <v>1.1011963150695347</v>
      </c>
      <c r="E41" s="12">
        <f t="shared" si="5"/>
        <v>1.1243471541951204</v>
      </c>
      <c r="F41" s="12">
        <f t="shared" si="5"/>
        <v>1.1771085916980393</v>
      </c>
      <c r="G41" s="12">
        <f t="shared" si="5"/>
        <v>1.180727786458365</v>
      </c>
      <c r="H41" s="12">
        <f t="shared" si="5"/>
        <v>1.174987476676947</v>
      </c>
      <c r="I41" s="12">
        <f t="shared" si="5"/>
        <v>1.1937627780602322</v>
      </c>
      <c r="J41" s="12">
        <f t="shared" si="5"/>
        <v>5.4287576503467498</v>
      </c>
    </row>
    <row r="42" spans="1:10" x14ac:dyDescent="0.2"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">
      <c r="A43" s="6" t="s">
        <v>26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4" t="s">
        <v>27</v>
      </c>
      <c r="B44" s="12">
        <f>LOG10(B3)</f>
        <v>4.6804600718802334</v>
      </c>
      <c r="C44" s="12">
        <f t="shared" ref="C44:J44" si="6">LOG10(C3)</f>
        <v>4.6458111915656719</v>
      </c>
      <c r="D44" s="12">
        <f t="shared" si="6"/>
        <v>4.7032132840898848</v>
      </c>
      <c r="E44" s="12">
        <f t="shared" si="6"/>
        <v>4.6193984823059671</v>
      </c>
      <c r="F44" s="12">
        <f t="shared" si="6"/>
        <v>4.5650232931332031</v>
      </c>
      <c r="G44" s="12">
        <f t="shared" si="6"/>
        <v>4.5146978040334993</v>
      </c>
      <c r="H44" s="12">
        <f t="shared" si="6"/>
        <v>4.485166992447966</v>
      </c>
      <c r="I44" s="12">
        <f t="shared" si="6"/>
        <v>4.4620703563979385</v>
      </c>
      <c r="J44" s="12">
        <f t="shared" si="6"/>
        <v>4.4040929037232681</v>
      </c>
    </row>
    <row r="45" spans="1:10" x14ac:dyDescent="0.2">
      <c r="A45" s="4" t="s">
        <v>28</v>
      </c>
      <c r="B45" s="12">
        <f>B15-B16</f>
        <v>788.48999999999978</v>
      </c>
      <c r="C45" s="12">
        <f t="shared" ref="C45:J45" si="7">C15-C16</f>
        <v>2490.9299999999998</v>
      </c>
      <c r="D45" s="12">
        <f t="shared" si="7"/>
        <v>315.18000000000006</v>
      </c>
      <c r="E45" s="12">
        <f t="shared" si="7"/>
        <v>-78.1400000000001</v>
      </c>
      <c r="F45" s="12">
        <f t="shared" si="7"/>
        <v>223.81999999999994</v>
      </c>
      <c r="G45" s="12">
        <f t="shared" si="7"/>
        <v>-153.79999999999995</v>
      </c>
      <c r="H45" s="12">
        <f t="shared" si="7"/>
        <v>-69.230000000000018</v>
      </c>
      <c r="I45" s="12">
        <f t="shared" si="7"/>
        <v>-696.3</v>
      </c>
      <c r="J45" s="12">
        <f t="shared" si="7"/>
        <v>-791.84</v>
      </c>
    </row>
    <row r="46" spans="1:10" x14ac:dyDescent="0.2">
      <c r="A46" s="4" t="s">
        <v>29</v>
      </c>
      <c r="B46" s="12">
        <f>(B6+B7)/B3</f>
        <v>3.2367959587375143E-2</v>
      </c>
      <c r="C46" s="12">
        <f t="shared" ref="C46:J46" si="8">(C6+C7)/C3</f>
        <v>5.0178347001329122E-2</v>
      </c>
      <c r="D46" s="12">
        <f t="shared" si="8"/>
        <v>5.873372875756671E-2</v>
      </c>
      <c r="E46" s="12">
        <f t="shared" si="8"/>
        <v>7.1441371497533948E-2</v>
      </c>
      <c r="F46" s="12">
        <f t="shared" si="8"/>
        <v>5.1563291242628685E-2</v>
      </c>
      <c r="G46" s="12">
        <f t="shared" si="8"/>
        <v>5.551231531611401E-2</v>
      </c>
      <c r="H46" s="12">
        <f t="shared" si="8"/>
        <v>5.3413897992733217E-2</v>
      </c>
      <c r="I46" s="12">
        <f t="shared" si="8"/>
        <v>5.6761081546669846E-2</v>
      </c>
      <c r="J46" s="12">
        <f t="shared" si="8"/>
        <v>6.0897095877185954E-2</v>
      </c>
    </row>
    <row r="47" spans="1:10" x14ac:dyDescent="0.2">
      <c r="A47" s="7" t="s">
        <v>30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">
      <c r="A48" s="7" t="s">
        <v>31</v>
      </c>
      <c r="B48" s="12">
        <f>(B3-B13+B34)/B3</f>
        <v>0.70477362026007562</v>
      </c>
      <c r="C48" s="12">
        <f t="shared" ref="C48:J48" si="9">(C3-C13+C34)/C3</f>
        <v>0.71749744572735741</v>
      </c>
      <c r="D48" s="12">
        <f t="shared" si="9"/>
        <v>0.78924804697557505</v>
      </c>
      <c r="E48" s="12">
        <f t="shared" si="9"/>
        <v>0.7750444158961346</v>
      </c>
      <c r="F48" s="12">
        <f t="shared" si="9"/>
        <v>0.75586492858737497</v>
      </c>
      <c r="G48" s="12">
        <f t="shared" si="9"/>
        <v>0.74718889191196913</v>
      </c>
      <c r="H48" s="12">
        <f t="shared" si="9"/>
        <v>0.74988612923154241</v>
      </c>
      <c r="I48" s="12">
        <f t="shared" si="9"/>
        <v>0.73372677947127707</v>
      </c>
      <c r="J48" s="12">
        <f t="shared" si="9"/>
        <v>0.72390739965870965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60BF-08C6-E441-81DD-F5E4C6C8A4CB}">
  <dimension ref="A1:Q48"/>
  <sheetViews>
    <sheetView topLeftCell="A4" workbookViewId="0">
      <selection activeCell="A24" sqref="A24:J48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7" x14ac:dyDescent="0.2">
      <c r="A1" s="4" t="s">
        <v>12</v>
      </c>
      <c r="B1" s="9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7" x14ac:dyDescent="0.2">
      <c r="A2" s="4" t="s">
        <v>13</v>
      </c>
      <c r="B2" s="9"/>
      <c r="C2" s="10"/>
      <c r="E2" s="10"/>
      <c r="G2" s="10"/>
      <c r="I2" s="10"/>
    </row>
    <row r="3" spans="1:17" ht="18" x14ac:dyDescent="0.2">
      <c r="A3" s="5" t="s">
        <v>4</v>
      </c>
      <c r="B3" s="26"/>
      <c r="C3" s="26"/>
      <c r="D3" s="26"/>
      <c r="E3" s="25">
        <v>29064.880000000001</v>
      </c>
      <c r="F3" s="25">
        <v>27869.119999999999</v>
      </c>
      <c r="G3" s="25">
        <v>28412.45</v>
      </c>
      <c r="H3" s="25">
        <v>25703.77</v>
      </c>
      <c r="I3" s="25">
        <v>23449.52</v>
      </c>
      <c r="J3" s="25">
        <v>21808.560000000001</v>
      </c>
      <c r="K3" s="1"/>
      <c r="L3" s="2"/>
      <c r="M3" s="1"/>
      <c r="N3" s="2"/>
      <c r="O3" s="1"/>
      <c r="P3" s="16"/>
      <c r="Q3" s="1"/>
    </row>
    <row r="4" spans="1:17" ht="18" x14ac:dyDescent="0.2">
      <c r="A4" s="5" t="s">
        <v>22</v>
      </c>
      <c r="B4" s="26"/>
      <c r="C4" s="26"/>
      <c r="D4" s="26"/>
      <c r="E4" s="25">
        <v>8245.25</v>
      </c>
      <c r="F4" s="25">
        <v>7844.75</v>
      </c>
      <c r="G4" s="25">
        <v>7548.44</v>
      </c>
      <c r="H4" s="25">
        <v>6567.07</v>
      </c>
      <c r="I4" s="25">
        <v>6026.62</v>
      </c>
      <c r="J4" s="25">
        <v>5466.7</v>
      </c>
      <c r="K4" s="1"/>
      <c r="L4" s="2"/>
      <c r="M4" s="1"/>
      <c r="N4" s="16"/>
      <c r="O4" s="1"/>
      <c r="P4" s="16"/>
      <c r="Q4" s="1"/>
    </row>
    <row r="5" spans="1:17" ht="18" x14ac:dyDescent="0.2">
      <c r="A5" s="5" t="s">
        <v>5</v>
      </c>
      <c r="B5" s="26"/>
      <c r="C5" s="26"/>
      <c r="D5" s="26"/>
      <c r="E5" s="25">
        <v>19699.11</v>
      </c>
      <c r="F5" s="25">
        <v>18990.310000000001</v>
      </c>
      <c r="G5" s="25">
        <v>20270.36</v>
      </c>
      <c r="H5" s="25">
        <v>18712.41</v>
      </c>
      <c r="I5" s="25">
        <v>17014.3</v>
      </c>
      <c r="J5" s="25">
        <v>15953.89</v>
      </c>
      <c r="K5" s="1"/>
      <c r="L5" s="2"/>
      <c r="M5" s="1"/>
      <c r="N5" s="2"/>
      <c r="O5" s="1"/>
      <c r="P5" s="2"/>
      <c r="Q5" s="1"/>
    </row>
    <row r="6" spans="1:17" ht="18" x14ac:dyDescent="0.2">
      <c r="A6" s="5" t="s">
        <v>33</v>
      </c>
      <c r="B6" s="26"/>
      <c r="C6" s="26"/>
      <c r="D6" s="26"/>
      <c r="E6" s="26">
        <v>110.32</v>
      </c>
      <c r="F6" s="26">
        <v>109.97</v>
      </c>
      <c r="G6" s="26">
        <v>72.09</v>
      </c>
      <c r="H6" s="26">
        <v>56.35</v>
      </c>
      <c r="I6" s="26">
        <v>59.07</v>
      </c>
      <c r="J6" s="26">
        <v>71</v>
      </c>
      <c r="K6" s="1"/>
      <c r="L6" s="2"/>
      <c r="M6" s="1"/>
      <c r="N6" s="16"/>
      <c r="O6" s="1"/>
      <c r="P6" s="16"/>
      <c r="Q6" s="1"/>
    </row>
    <row r="7" spans="1:17" ht="18" x14ac:dyDescent="0.2">
      <c r="A7" s="5" t="s">
        <v>34</v>
      </c>
      <c r="B7" s="26"/>
      <c r="C7" s="26"/>
      <c r="D7" s="26"/>
      <c r="E7" s="26">
        <v>88.12</v>
      </c>
      <c r="F7" s="26">
        <v>106.45</v>
      </c>
      <c r="G7" s="26">
        <v>75.02</v>
      </c>
      <c r="H7" s="26">
        <v>99.42</v>
      </c>
      <c r="I7" s="26">
        <v>132.22</v>
      </c>
      <c r="J7" s="26">
        <v>114.25</v>
      </c>
      <c r="K7" s="1"/>
      <c r="L7" s="2"/>
      <c r="M7" s="1"/>
      <c r="N7" s="2"/>
      <c r="O7" s="1"/>
      <c r="P7" s="2"/>
      <c r="Q7" s="1"/>
    </row>
    <row r="8" spans="1:17" x14ac:dyDescent="0.2">
      <c r="A8" s="4" t="s">
        <v>6</v>
      </c>
      <c r="B8" s="9"/>
    </row>
    <row r="9" spans="1:17" x14ac:dyDescent="0.2">
      <c r="B9" s="27"/>
      <c r="C9" s="27"/>
      <c r="D9" s="27"/>
      <c r="E9" s="26"/>
    </row>
    <row r="10" spans="1:17" x14ac:dyDescent="0.2">
      <c r="A10" s="4" t="s">
        <v>9</v>
      </c>
      <c r="B10" s="27"/>
      <c r="C10" s="27"/>
      <c r="D10" s="27"/>
      <c r="E10" s="26"/>
    </row>
    <row r="11" spans="1:17" ht="18" x14ac:dyDescent="0.2">
      <c r="A11" s="5" t="s">
        <v>7</v>
      </c>
      <c r="B11" s="26"/>
      <c r="C11" s="26"/>
      <c r="D11" s="26"/>
      <c r="E11" s="25">
        <v>8785.33</v>
      </c>
      <c r="F11" s="25">
        <v>8411.59</v>
      </c>
      <c r="G11" s="25">
        <v>10376.450000000001</v>
      </c>
      <c r="H11" s="25">
        <v>9881.07</v>
      </c>
      <c r="I11" s="25">
        <v>8803.8799999999992</v>
      </c>
      <c r="J11" s="25">
        <v>8374.98</v>
      </c>
      <c r="P11" s="16"/>
      <c r="Q11" s="1"/>
    </row>
    <row r="12" spans="1:17" ht="18" x14ac:dyDescent="0.2">
      <c r="A12" s="5" t="s">
        <v>8</v>
      </c>
      <c r="B12" s="26"/>
      <c r="C12" s="26"/>
      <c r="D12" s="26"/>
      <c r="E12" s="25">
        <v>12141.18</v>
      </c>
      <c r="F12" s="25">
        <v>11353.76</v>
      </c>
      <c r="G12" s="25">
        <v>10888.3</v>
      </c>
      <c r="H12" s="25">
        <v>9535.18</v>
      </c>
      <c r="I12" s="25">
        <v>9005.25</v>
      </c>
      <c r="J12" s="25">
        <v>8392.67</v>
      </c>
      <c r="P12" s="2"/>
      <c r="Q12" s="1"/>
    </row>
    <row r="13" spans="1:17" ht="18" x14ac:dyDescent="0.2">
      <c r="A13" s="5" t="s">
        <v>24</v>
      </c>
      <c r="B13" s="27"/>
      <c r="C13" s="27"/>
      <c r="D13" s="27"/>
      <c r="E13" s="25">
        <v>8138.38</v>
      </c>
      <c r="F13" s="25">
        <v>8103.77</v>
      </c>
      <c r="G13" s="25">
        <v>7147.71</v>
      </c>
      <c r="H13" s="25">
        <v>6287.51</v>
      </c>
      <c r="I13" s="25">
        <v>5640.39</v>
      </c>
      <c r="J13" s="25">
        <v>5040.91</v>
      </c>
      <c r="P13" s="2"/>
      <c r="Q13" s="1"/>
    </row>
    <row r="14" spans="1:17" x14ac:dyDescent="0.2">
      <c r="B14" s="27"/>
      <c r="C14" s="27"/>
      <c r="D14" s="27"/>
      <c r="E14" s="26"/>
    </row>
    <row r="15" spans="1:17" ht="18" x14ac:dyDescent="0.2">
      <c r="A15" s="5" t="s">
        <v>32</v>
      </c>
      <c r="B15" s="27"/>
      <c r="C15" s="27"/>
      <c r="D15" s="27"/>
      <c r="E15" s="26">
        <v>-133.38</v>
      </c>
      <c r="F15" s="26">
        <v>2655.5</v>
      </c>
      <c r="G15" s="26">
        <v>1060.42</v>
      </c>
      <c r="H15" s="26">
        <v>763.89</v>
      </c>
      <c r="I15" s="26">
        <v>438.98</v>
      </c>
      <c r="J15" s="26">
        <v>193.52</v>
      </c>
      <c r="K15" s="1"/>
      <c r="L15" s="20"/>
      <c r="M15" s="1"/>
      <c r="N15" s="3"/>
      <c r="O15" s="1"/>
      <c r="P15" s="3"/>
      <c r="Q15" s="1"/>
    </row>
    <row r="16" spans="1:17" ht="18" x14ac:dyDescent="0.2">
      <c r="A16" s="5" t="s">
        <v>23</v>
      </c>
      <c r="B16" s="27"/>
      <c r="C16" s="27"/>
      <c r="D16" s="27"/>
      <c r="E16" s="26">
        <v>332.69</v>
      </c>
      <c r="F16" s="25">
        <v>2347.46</v>
      </c>
      <c r="G16" s="25">
        <v>1181.6300000000001</v>
      </c>
      <c r="H16" s="26">
        <v>905.06</v>
      </c>
      <c r="I16" s="26">
        <v>776.42</v>
      </c>
      <c r="J16" s="26">
        <v>698.42</v>
      </c>
      <c r="K16" s="1"/>
      <c r="L16" s="16"/>
      <c r="M16" s="1"/>
      <c r="N16" s="16"/>
      <c r="O16" s="1"/>
      <c r="P16" s="16"/>
      <c r="Q16" s="1"/>
    </row>
    <row r="17" spans="1:11" x14ac:dyDescent="0.2">
      <c r="A17" s="5" t="s">
        <v>25</v>
      </c>
      <c r="B17" s="27">
        <v>0.10879999999999999</v>
      </c>
      <c r="C17" s="27">
        <v>0.13039999999999999</v>
      </c>
      <c r="D17" s="27">
        <v>0.1239</v>
      </c>
      <c r="E17" s="27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1" x14ac:dyDescent="0.2">
      <c r="B18" s="27"/>
      <c r="C18" s="27"/>
      <c r="D18" s="27"/>
      <c r="E18" s="26"/>
      <c r="F18" s="26"/>
      <c r="H18" s="11"/>
      <c r="J18" s="11"/>
    </row>
    <row r="19" spans="1:11" x14ac:dyDescent="0.2">
      <c r="A19" s="5" t="s">
        <v>35</v>
      </c>
      <c r="B19" s="27"/>
      <c r="C19" s="27"/>
      <c r="D19" s="27"/>
      <c r="E19" s="26"/>
      <c r="F19" s="26"/>
      <c r="H19" s="11"/>
      <c r="J19" s="11"/>
    </row>
    <row r="20" spans="1:11" x14ac:dyDescent="0.2">
      <c r="A20" s="5" t="s">
        <v>36</v>
      </c>
      <c r="B20" s="27"/>
      <c r="C20" s="27"/>
      <c r="D20" s="27"/>
      <c r="E20" s="26"/>
      <c r="F20" s="11"/>
      <c r="H20" s="11"/>
      <c r="J20" s="11"/>
    </row>
    <row r="21" spans="1:11" x14ac:dyDescent="0.2">
      <c r="A21" s="5" t="s">
        <v>37</v>
      </c>
      <c r="B21" s="27"/>
      <c r="C21" s="27"/>
      <c r="D21" s="27"/>
      <c r="E21" s="26"/>
      <c r="F21" s="11"/>
      <c r="H21" s="11"/>
      <c r="J21" s="11"/>
    </row>
    <row r="22" spans="1:11" x14ac:dyDescent="0.2">
      <c r="A22" s="5" t="s">
        <v>38</v>
      </c>
      <c r="B22" s="11"/>
      <c r="D22" s="11"/>
      <c r="F22" s="11"/>
      <c r="H22" s="11"/>
      <c r="J22" s="11"/>
      <c r="K22" s="15"/>
    </row>
    <row r="23" spans="1:11" x14ac:dyDescent="0.2">
      <c r="B23" s="11"/>
      <c r="D23" s="11"/>
      <c r="F23" s="11"/>
      <c r="H23" s="11"/>
      <c r="J23" s="11"/>
      <c r="K23" s="15"/>
    </row>
    <row r="24" spans="1:11" x14ac:dyDescent="0.2">
      <c r="A24" s="5" t="s">
        <v>41</v>
      </c>
      <c r="B24" s="28">
        <v>0.72</v>
      </c>
      <c r="C24" s="28">
        <v>0.72</v>
      </c>
      <c r="D24" s="28">
        <v>0.72</v>
      </c>
      <c r="E24" s="28">
        <v>0.72</v>
      </c>
      <c r="F24" s="28">
        <v>0.71</v>
      </c>
      <c r="G24" s="28">
        <v>0.75</v>
      </c>
      <c r="H24" s="28">
        <v>0.76</v>
      </c>
      <c r="I24" s="28">
        <v>0.76</v>
      </c>
      <c r="J24" s="28">
        <v>0.77</v>
      </c>
      <c r="K24" s="15"/>
    </row>
    <row r="25" spans="1:11" x14ac:dyDescent="0.2">
      <c r="B25" s="12"/>
      <c r="C25" s="12"/>
      <c r="D25" s="12"/>
      <c r="E25" s="12"/>
      <c r="F25" s="12"/>
      <c r="G25" s="12"/>
      <c r="H25" s="12"/>
      <c r="I25" s="12"/>
      <c r="J25" s="12"/>
      <c r="K25" s="15"/>
    </row>
    <row r="26" spans="1:11" x14ac:dyDescent="0.2">
      <c r="B26" s="12"/>
      <c r="C26" s="12"/>
      <c r="D26" s="12"/>
      <c r="E26" s="12"/>
      <c r="F26" s="12"/>
      <c r="G26" s="12"/>
      <c r="H26" s="12"/>
      <c r="I26" s="12"/>
      <c r="J26" s="12"/>
      <c r="K26" s="15"/>
    </row>
    <row r="27" spans="1:11" x14ac:dyDescent="0.2">
      <c r="A27" s="6" t="s">
        <v>0</v>
      </c>
      <c r="B27" s="12"/>
      <c r="C27" s="12"/>
      <c r="D27" s="12"/>
      <c r="E27" s="12"/>
      <c r="F27" s="12"/>
      <c r="G27" s="12"/>
      <c r="H27" s="12"/>
      <c r="I27" s="12"/>
      <c r="J27" s="12"/>
      <c r="K27" s="15"/>
    </row>
    <row r="28" spans="1:11" x14ac:dyDescent="0.2">
      <c r="A28" s="7" t="s">
        <v>1</v>
      </c>
      <c r="B28" s="12" t="e">
        <f>B2/B3</f>
        <v>#DIV/0!</v>
      </c>
      <c r="C28" s="12" t="e">
        <f t="shared" ref="C28:J28" si="0">C2/C3</f>
        <v>#DIV/0!</v>
      </c>
      <c r="D28" s="12" t="e">
        <f t="shared" si="0"/>
        <v>#DIV/0!</v>
      </c>
      <c r="E28" s="12">
        <f t="shared" si="0"/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  <c r="I28" s="12">
        <f t="shared" si="0"/>
        <v>0</v>
      </c>
      <c r="J28" s="12">
        <f t="shared" si="0"/>
        <v>0</v>
      </c>
      <c r="K28" s="15"/>
    </row>
    <row r="29" spans="1:11" x14ac:dyDescent="0.2">
      <c r="A29" s="4" t="s">
        <v>2</v>
      </c>
      <c r="B29" s="12" t="e">
        <f>B12/B3</f>
        <v>#DIV/0!</v>
      </c>
      <c r="C29" s="12" t="e">
        <f t="shared" ref="C29:J29" si="1">C12/C3</f>
        <v>#DIV/0!</v>
      </c>
      <c r="D29" s="12" t="e">
        <f t="shared" si="1"/>
        <v>#DIV/0!</v>
      </c>
      <c r="E29" s="12">
        <f t="shared" si="1"/>
        <v>0.41772682357539409</v>
      </c>
      <c r="F29" s="12">
        <f t="shared" si="1"/>
        <v>0.4073957125305715</v>
      </c>
      <c r="G29" s="12">
        <f t="shared" si="1"/>
        <v>0.38322284773048432</v>
      </c>
      <c r="H29" s="12">
        <f t="shared" si="1"/>
        <v>0.37096425932849542</v>
      </c>
      <c r="I29" s="12">
        <f t="shared" si="1"/>
        <v>0.38402705044708801</v>
      </c>
      <c r="J29" s="12">
        <f t="shared" si="1"/>
        <v>0.38483375335189485</v>
      </c>
      <c r="K29" s="15"/>
    </row>
    <row r="30" spans="1:11" x14ac:dyDescent="0.2">
      <c r="A30" s="4" t="s">
        <v>3</v>
      </c>
      <c r="B30" s="12" t="e">
        <f>B11/B3</f>
        <v>#DIV/0!</v>
      </c>
      <c r="C30" s="12" t="e">
        <f t="shared" ref="C30:J30" si="2">C11/C3</f>
        <v>#DIV/0!</v>
      </c>
      <c r="D30" s="12" t="e">
        <f t="shared" si="2"/>
        <v>#DIV/0!</v>
      </c>
      <c r="E30" s="12">
        <f t="shared" si="2"/>
        <v>0.30226617140686629</v>
      </c>
      <c r="F30" s="12">
        <f t="shared" si="2"/>
        <v>0.30182474365893147</v>
      </c>
      <c r="G30" s="12">
        <f t="shared" si="2"/>
        <v>0.36520785782289106</v>
      </c>
      <c r="H30" s="12">
        <f t="shared" si="2"/>
        <v>0.38442104018204332</v>
      </c>
      <c r="I30" s="12">
        <f t="shared" si="2"/>
        <v>0.37543966784821176</v>
      </c>
      <c r="J30" s="12">
        <f t="shared" si="2"/>
        <v>0.38402260396834997</v>
      </c>
      <c r="K30" s="15"/>
    </row>
    <row r="31" spans="1:11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1:11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">
      <c r="A33" s="6" t="s">
        <v>14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">
      <c r="A34" s="7" t="s">
        <v>39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7" t="s">
        <v>15</v>
      </c>
      <c r="B35" s="12" t="e">
        <f>B34/B3</f>
        <v>#DIV/0!</v>
      </c>
      <c r="C35" s="12" t="e">
        <f t="shared" ref="C35:J35" si="3">C34/C3</f>
        <v>#DIV/0!</v>
      </c>
      <c r="D35" s="12" t="e">
        <f t="shared" si="3"/>
        <v>#DIV/0!</v>
      </c>
      <c r="E35" s="12">
        <f t="shared" si="3"/>
        <v>0</v>
      </c>
      <c r="F35" s="12">
        <f t="shared" si="3"/>
        <v>0</v>
      </c>
      <c r="G35" s="12">
        <f t="shared" si="3"/>
        <v>0</v>
      </c>
      <c r="H35" s="12">
        <f t="shared" si="3"/>
        <v>0</v>
      </c>
      <c r="I35" s="12">
        <f t="shared" si="3"/>
        <v>0</v>
      </c>
      <c r="J35" s="12">
        <f t="shared" si="3"/>
        <v>0</v>
      </c>
    </row>
    <row r="36" spans="1:10" x14ac:dyDescent="0.2">
      <c r="A36" s="4" t="s">
        <v>16</v>
      </c>
      <c r="B36" s="12">
        <f>B16-(B13*B17)</f>
        <v>0</v>
      </c>
      <c r="C36" s="12">
        <f t="shared" ref="C36:J36" si="4">C16-(C13*C17)</f>
        <v>0</v>
      </c>
      <c r="D36" s="12">
        <f t="shared" si="4"/>
        <v>0</v>
      </c>
      <c r="E36" s="12">
        <f t="shared" si="4"/>
        <v>-27.026396000000034</v>
      </c>
      <c r="F36" s="12">
        <f t="shared" si="4"/>
        <v>2123.795948</v>
      </c>
      <c r="G36" s="12">
        <f t="shared" si="4"/>
        <v>755.62648400000012</v>
      </c>
      <c r="H36" s="12">
        <f t="shared" si="4"/>
        <v>500.77310699999998</v>
      </c>
      <c r="I36" s="12">
        <f t="shared" si="4"/>
        <v>215.76523399999996</v>
      </c>
      <c r="J36" s="12">
        <f t="shared" si="4"/>
        <v>-8.3155819999999494</v>
      </c>
    </row>
    <row r="37" spans="1:10" x14ac:dyDescent="0.2">
      <c r="A37" s="5" t="s">
        <v>17</v>
      </c>
      <c r="B37" s="28">
        <v>6.0000000000000001E-3</v>
      </c>
      <c r="C37" s="28">
        <v>6.0000000000000001E-3</v>
      </c>
      <c r="D37" s="28">
        <v>6.0000000000000001E-3</v>
      </c>
      <c r="E37" s="28">
        <v>1.14E-2</v>
      </c>
      <c r="F37" s="28">
        <v>8.4199999999999997E-2</v>
      </c>
      <c r="G37" s="28">
        <v>4.1599999999999998E-2</v>
      </c>
      <c r="H37" s="28">
        <v>3.5200000000000002E-2</v>
      </c>
      <c r="I37" s="28">
        <v>3.3000000000000002E-2</v>
      </c>
      <c r="J37" s="28">
        <v>3.1899999999999998E-2</v>
      </c>
    </row>
    <row r="38" spans="1:10" x14ac:dyDescent="0.2">
      <c r="A38" s="5" t="s">
        <v>18</v>
      </c>
      <c r="B38" s="28">
        <v>2.1700000000000001E-2</v>
      </c>
      <c r="C38" s="28">
        <v>2.1700000000000001E-2</v>
      </c>
      <c r="D38" s="28">
        <v>2.1700000000000001E-2</v>
      </c>
      <c r="E38" s="28">
        <v>4.0899999999999999E-2</v>
      </c>
      <c r="F38" s="28">
        <v>0.2898</v>
      </c>
      <c r="G38" s="28">
        <v>0.16550000000000001</v>
      </c>
      <c r="H38" s="28">
        <v>0.14399999999999999</v>
      </c>
      <c r="I38" s="28">
        <v>0.13750000000000001</v>
      </c>
      <c r="J38" s="28">
        <v>0.13830000000000001</v>
      </c>
    </row>
    <row r="39" spans="1:10" x14ac:dyDescent="0.2">
      <c r="A39" s="13" t="s">
        <v>19</v>
      </c>
      <c r="B39" s="28">
        <v>8.3000000000000001E-3</v>
      </c>
      <c r="C39" s="28">
        <v>8.3000000000000001E-3</v>
      </c>
      <c r="D39" s="28">
        <v>8.3000000000000001E-3</v>
      </c>
      <c r="E39" s="28">
        <v>1.6299999999999999E-2</v>
      </c>
      <c r="F39" s="28">
        <v>0.1222</v>
      </c>
      <c r="G39" s="28">
        <v>5.4399999999999997E-2</v>
      </c>
      <c r="H39" s="28">
        <v>4.5600000000000002E-2</v>
      </c>
      <c r="I39" s="28">
        <v>4.3499999999999997E-2</v>
      </c>
      <c r="J39" s="28">
        <v>4.2700000000000002E-2</v>
      </c>
    </row>
    <row r="40" spans="1:10" x14ac:dyDescent="0.2">
      <c r="A40" s="5" t="s">
        <v>20</v>
      </c>
      <c r="B40" s="28">
        <v>2.29</v>
      </c>
      <c r="C40" s="28">
        <v>2.29</v>
      </c>
      <c r="D40" s="28">
        <v>2.29</v>
      </c>
      <c r="E40" s="28">
        <v>2.2400000000000002</v>
      </c>
      <c r="F40" s="28">
        <v>2.2599999999999998</v>
      </c>
      <c r="G40" s="28">
        <v>1.95</v>
      </c>
      <c r="H40" s="28">
        <v>1.89</v>
      </c>
      <c r="I40" s="28">
        <v>1.93</v>
      </c>
      <c r="J40" s="28">
        <v>1.9</v>
      </c>
    </row>
    <row r="41" spans="1:10" x14ac:dyDescent="0.2">
      <c r="A41" s="4" t="s">
        <v>21</v>
      </c>
      <c r="B41" s="12" t="e">
        <f>(B5+B4)/(B11+B12)</f>
        <v>#DIV/0!</v>
      </c>
      <c r="C41" s="12" t="e">
        <f t="shared" ref="C41:J41" si="5">(C5+C4)/(C11+C12)</f>
        <v>#DIV/0!</v>
      </c>
      <c r="D41" s="12" t="e">
        <f t="shared" si="5"/>
        <v>#DIV/0!</v>
      </c>
      <c r="E41" s="12">
        <f t="shared" si="5"/>
        <v>1.3353569228696041</v>
      </c>
      <c r="F41" s="12">
        <f t="shared" si="5"/>
        <v>1.3576820041132589</v>
      </c>
      <c r="G41" s="12">
        <f t="shared" si="5"/>
        <v>1.308211947001493</v>
      </c>
      <c r="H41" s="12">
        <f t="shared" si="5"/>
        <v>1.3019754071975793</v>
      </c>
      <c r="I41" s="12">
        <f t="shared" si="5"/>
        <v>1.2937701055582165</v>
      </c>
      <c r="J41" s="12">
        <f t="shared" si="5"/>
        <v>1.277495057446929</v>
      </c>
    </row>
    <row r="42" spans="1:10" x14ac:dyDescent="0.2"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">
      <c r="A43" s="6" t="s">
        <v>26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4" t="s">
        <v>27</v>
      </c>
      <c r="B44" s="12" t="e">
        <f>LOG10(B3)</f>
        <v>#NUM!</v>
      </c>
      <c r="C44" s="12" t="e">
        <f t="shared" ref="C44:J44" si="6">LOG10(C3)</f>
        <v>#NUM!</v>
      </c>
      <c r="D44" s="12" t="e">
        <f t="shared" si="6"/>
        <v>#NUM!</v>
      </c>
      <c r="E44" s="12">
        <f t="shared" si="6"/>
        <v>4.4633685342270217</v>
      </c>
      <c r="F44" s="12">
        <f t="shared" si="6"/>
        <v>4.4451232555745213</v>
      </c>
      <c r="G44" s="12">
        <f t="shared" si="6"/>
        <v>4.4535086844657785</v>
      </c>
      <c r="H44" s="12">
        <f t="shared" si="6"/>
        <v>4.4099968264487783</v>
      </c>
      <c r="I44" s="12">
        <f t="shared" si="6"/>
        <v>4.370133957350256</v>
      </c>
      <c r="J44" s="12">
        <f t="shared" si="6"/>
        <v>4.3386269904434291</v>
      </c>
    </row>
    <row r="45" spans="1:10" x14ac:dyDescent="0.2">
      <c r="A45" s="4" t="s">
        <v>28</v>
      </c>
      <c r="B45" s="12">
        <f>B15-B16</f>
        <v>0</v>
      </c>
      <c r="C45" s="12">
        <f t="shared" ref="C45:J45" si="7">C15-C16</f>
        <v>0</v>
      </c>
      <c r="D45" s="12">
        <f t="shared" si="7"/>
        <v>0</v>
      </c>
      <c r="E45" s="12">
        <f t="shared" si="7"/>
        <v>-466.07</v>
      </c>
      <c r="F45" s="12">
        <f t="shared" si="7"/>
        <v>308.03999999999996</v>
      </c>
      <c r="G45" s="12">
        <f t="shared" si="7"/>
        <v>-121.21000000000004</v>
      </c>
      <c r="H45" s="12">
        <f t="shared" si="7"/>
        <v>-141.16999999999996</v>
      </c>
      <c r="I45" s="12">
        <f t="shared" si="7"/>
        <v>-337.43999999999994</v>
      </c>
      <c r="J45" s="12">
        <f t="shared" si="7"/>
        <v>-504.9</v>
      </c>
    </row>
    <row r="46" spans="1:10" x14ac:dyDescent="0.2">
      <c r="A46" s="4" t="s">
        <v>29</v>
      </c>
      <c r="B46" s="12" t="e">
        <f>(B6+B7)/B3</f>
        <v>#DIV/0!</v>
      </c>
      <c r="C46" s="12" t="e">
        <f t="shared" ref="C46:J46" si="8">(C6+C7)/C3</f>
        <v>#DIV/0!</v>
      </c>
      <c r="D46" s="12" t="e">
        <f t="shared" si="8"/>
        <v>#DIV/0!</v>
      </c>
      <c r="E46" s="12">
        <f t="shared" si="8"/>
        <v>6.8274838912116614E-3</v>
      </c>
      <c r="F46" s="12">
        <f t="shared" si="8"/>
        <v>7.7655842739203828E-3</v>
      </c>
      <c r="G46" s="12">
        <f t="shared" si="8"/>
        <v>5.1776597935060164E-3</v>
      </c>
      <c r="H46" s="12">
        <f t="shared" si="8"/>
        <v>6.0602005075520056E-3</v>
      </c>
      <c r="I46" s="12">
        <f t="shared" si="8"/>
        <v>8.1575230537767936E-3</v>
      </c>
      <c r="J46" s="12">
        <f t="shared" si="8"/>
        <v>8.4943710176187699E-3</v>
      </c>
    </row>
    <row r="47" spans="1:10" x14ac:dyDescent="0.2">
      <c r="A47" s="7" t="s">
        <v>30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">
      <c r="A48" s="7" t="s">
        <v>31</v>
      </c>
      <c r="B48" s="12" t="e">
        <f>(B3-B13+B34)/B3</f>
        <v>#DIV/0!</v>
      </c>
      <c r="C48" s="12" t="e">
        <f t="shared" ref="C48:J48" si="9">(C3-C13+C34)/C3</f>
        <v>#DIV/0!</v>
      </c>
      <c r="D48" s="12" t="e">
        <f t="shared" si="9"/>
        <v>#DIV/0!</v>
      </c>
      <c r="E48" s="12">
        <f t="shared" si="9"/>
        <v>0.71999265092441456</v>
      </c>
      <c r="F48" s="12">
        <f t="shared" si="9"/>
        <v>0.70922045618950291</v>
      </c>
      <c r="G48" s="12">
        <f t="shared" si="9"/>
        <v>0.74843035359499099</v>
      </c>
      <c r="H48" s="12">
        <f t="shared" si="9"/>
        <v>0.75538568855852672</v>
      </c>
      <c r="I48" s="12">
        <f t="shared" si="9"/>
        <v>0.75946671829529988</v>
      </c>
      <c r="J48" s="12">
        <f t="shared" si="9"/>
        <v>0.76885635732024493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A04F-ED20-F544-BE3D-ED77A63CEE05}">
  <dimension ref="A1:Q48"/>
  <sheetViews>
    <sheetView workbookViewId="0">
      <selection activeCell="J48" sqref="A25:J48"/>
    </sheetView>
  </sheetViews>
  <sheetFormatPr baseColWidth="10" defaultRowHeight="16" x14ac:dyDescent="0.2"/>
  <cols>
    <col min="1" max="1" width="46.33203125" style="4" bestFit="1" customWidth="1"/>
    <col min="2" max="10" width="11.83203125" style="8" bestFit="1" customWidth="1"/>
    <col min="11" max="16384" width="10.83203125" style="4"/>
  </cols>
  <sheetData>
    <row r="1" spans="1:17" x14ac:dyDescent="0.2">
      <c r="A1" s="4" t="s">
        <v>12</v>
      </c>
      <c r="B1" s="9">
        <v>2024</v>
      </c>
      <c r="C1" s="9">
        <v>2023</v>
      </c>
      <c r="D1" s="9">
        <v>2022</v>
      </c>
      <c r="E1" s="9">
        <v>2021</v>
      </c>
      <c r="F1" s="9">
        <v>2020</v>
      </c>
      <c r="G1" s="9">
        <v>2019</v>
      </c>
      <c r="H1" s="9">
        <v>2018</v>
      </c>
      <c r="I1" s="9">
        <v>2017</v>
      </c>
      <c r="J1" s="9">
        <v>2016</v>
      </c>
    </row>
    <row r="2" spans="1:17" x14ac:dyDescent="0.2">
      <c r="A2" s="4" t="s">
        <v>13</v>
      </c>
      <c r="B2" s="9"/>
      <c r="C2" s="10"/>
      <c r="E2" s="10"/>
      <c r="G2" s="10"/>
      <c r="I2" s="10"/>
    </row>
    <row r="3" spans="1:17" x14ac:dyDescent="0.2">
      <c r="A3" s="5" t="s">
        <v>4</v>
      </c>
      <c r="B3" s="25">
        <v>2445.31</v>
      </c>
      <c r="C3" s="25">
        <v>2543.86</v>
      </c>
      <c r="D3" s="25">
        <v>2302.7800000000002</v>
      </c>
      <c r="E3" s="25">
        <v>2173.17</v>
      </c>
      <c r="F3" s="26">
        <v>957.55</v>
      </c>
      <c r="G3" s="26">
        <v>586.29999999999995</v>
      </c>
      <c r="H3" s="26">
        <v>482.03</v>
      </c>
      <c r="I3" s="26">
        <v>616.11</v>
      </c>
      <c r="J3" s="26">
        <v>199.01</v>
      </c>
      <c r="K3" s="15"/>
      <c r="L3" s="21"/>
      <c r="M3" s="15"/>
      <c r="N3" s="21"/>
      <c r="O3" s="15"/>
      <c r="P3" s="22"/>
      <c r="Q3" s="15"/>
    </row>
    <row r="4" spans="1:17" x14ac:dyDescent="0.2">
      <c r="A4" s="5" t="s">
        <v>22</v>
      </c>
      <c r="B4" s="26">
        <v>140.56</v>
      </c>
      <c r="C4" s="26">
        <v>56.57</v>
      </c>
      <c r="D4" s="26">
        <v>61.22</v>
      </c>
      <c r="E4" s="26">
        <v>80.599999999999994</v>
      </c>
      <c r="F4" s="26">
        <v>90.86</v>
      </c>
      <c r="G4" s="26">
        <v>37.74</v>
      </c>
      <c r="H4" s="26">
        <v>41.96</v>
      </c>
      <c r="I4" s="26">
        <v>33.1</v>
      </c>
      <c r="J4" s="26">
        <v>25.66</v>
      </c>
      <c r="K4" s="15"/>
      <c r="L4" s="21"/>
      <c r="M4" s="15"/>
      <c r="N4" s="22"/>
      <c r="O4" s="15"/>
      <c r="P4" s="22"/>
      <c r="Q4" s="15"/>
    </row>
    <row r="5" spans="1:17" x14ac:dyDescent="0.2">
      <c r="A5" s="5" t="s">
        <v>5</v>
      </c>
      <c r="B5" s="26">
        <v>476.79</v>
      </c>
      <c r="C5" s="26">
        <v>573.20000000000005</v>
      </c>
      <c r="D5" s="26">
        <v>493.17</v>
      </c>
      <c r="E5" s="26">
        <v>522.69000000000005</v>
      </c>
      <c r="F5" s="26">
        <v>354.86</v>
      </c>
      <c r="G5" s="26">
        <v>134.47999999999999</v>
      </c>
      <c r="H5" s="26">
        <v>124.54</v>
      </c>
      <c r="I5" s="26">
        <v>79.930000000000007</v>
      </c>
      <c r="J5" s="26">
        <v>135.18</v>
      </c>
      <c r="K5" s="15"/>
      <c r="L5" s="21"/>
      <c r="M5" s="15"/>
      <c r="N5" s="21"/>
      <c r="O5" s="15"/>
      <c r="P5" s="21"/>
      <c r="Q5" s="15"/>
    </row>
    <row r="6" spans="1:17" x14ac:dyDescent="0.2">
      <c r="A6" s="5" t="s">
        <v>33</v>
      </c>
      <c r="B6" s="26">
        <v>10.5</v>
      </c>
      <c r="C6" s="26">
        <v>12.74</v>
      </c>
      <c r="D6" s="26">
        <v>13.14</v>
      </c>
      <c r="E6" s="26">
        <v>14.45</v>
      </c>
      <c r="F6" s="26">
        <v>12.09</v>
      </c>
      <c r="G6" s="26">
        <v>16.29</v>
      </c>
      <c r="H6" s="26">
        <v>14.3</v>
      </c>
      <c r="I6" s="26">
        <v>15.35</v>
      </c>
      <c r="J6" s="26">
        <v>9.67</v>
      </c>
      <c r="K6" s="15"/>
      <c r="L6" s="21"/>
      <c r="M6" s="15"/>
      <c r="N6" s="22"/>
      <c r="O6" s="15"/>
      <c r="P6" s="22"/>
      <c r="Q6" s="15"/>
    </row>
    <row r="7" spans="1:17" x14ac:dyDescent="0.2">
      <c r="A7" s="5" t="s">
        <v>34</v>
      </c>
      <c r="B7" s="26">
        <v>231.71</v>
      </c>
      <c r="C7" s="26">
        <v>205.39</v>
      </c>
      <c r="D7" s="26">
        <v>136.01</v>
      </c>
      <c r="E7" s="26">
        <v>136.88</v>
      </c>
      <c r="F7" s="26">
        <v>126.11</v>
      </c>
      <c r="G7" s="26">
        <v>115.53</v>
      </c>
      <c r="H7" s="26">
        <v>12.5</v>
      </c>
      <c r="I7" s="26">
        <v>0</v>
      </c>
      <c r="J7" s="26">
        <v>0</v>
      </c>
      <c r="K7" s="15"/>
      <c r="L7" s="21"/>
      <c r="M7" s="15"/>
      <c r="N7" s="21"/>
      <c r="O7" s="15"/>
      <c r="P7" s="21"/>
      <c r="Q7" s="15"/>
    </row>
    <row r="8" spans="1:17" x14ac:dyDescent="0.2">
      <c r="A8" s="4" t="s">
        <v>6</v>
      </c>
      <c r="B8" s="9"/>
    </row>
    <row r="9" spans="1:17" x14ac:dyDescent="0.2">
      <c r="B9" s="27"/>
      <c r="C9" s="27"/>
      <c r="D9" s="27"/>
      <c r="E9" s="26"/>
    </row>
    <row r="10" spans="1:17" x14ac:dyDescent="0.2">
      <c r="A10" s="4" t="s">
        <v>9</v>
      </c>
      <c r="B10" s="27"/>
      <c r="C10" s="27"/>
      <c r="D10" s="27"/>
      <c r="E10" s="26"/>
    </row>
    <row r="11" spans="1:17" x14ac:dyDescent="0.2">
      <c r="A11" s="5" t="s">
        <v>7</v>
      </c>
      <c r="B11" s="26">
        <v>718.26</v>
      </c>
      <c r="C11" s="26">
        <v>595.36</v>
      </c>
      <c r="D11" s="26">
        <v>490.92</v>
      </c>
      <c r="E11" s="26">
        <v>761.8</v>
      </c>
      <c r="F11" s="26">
        <v>401.84</v>
      </c>
      <c r="G11" s="26">
        <v>255.53</v>
      </c>
      <c r="H11" s="26">
        <v>205.98</v>
      </c>
      <c r="I11" s="26">
        <v>146.15</v>
      </c>
      <c r="J11" s="26">
        <v>67.510000000000005</v>
      </c>
      <c r="P11" s="22"/>
      <c r="Q11" s="15"/>
    </row>
    <row r="12" spans="1:17" x14ac:dyDescent="0.2">
      <c r="A12" s="5" t="s">
        <v>8</v>
      </c>
      <c r="B12" s="26">
        <v>569.66</v>
      </c>
      <c r="C12" s="26">
        <v>792.92</v>
      </c>
      <c r="D12" s="26">
        <v>906.97</v>
      </c>
      <c r="E12" s="26">
        <v>603.16999999999996</v>
      </c>
      <c r="F12" s="26">
        <v>258.07</v>
      </c>
      <c r="G12" s="26">
        <v>133.88999999999999</v>
      </c>
      <c r="H12" s="26">
        <v>99.19</v>
      </c>
      <c r="I12" s="26">
        <v>298.95</v>
      </c>
      <c r="J12" s="26">
        <v>9.39</v>
      </c>
      <c r="P12" s="21"/>
      <c r="Q12" s="15"/>
    </row>
    <row r="13" spans="1:17" x14ac:dyDescent="0.2">
      <c r="A13" s="5" t="s">
        <v>24</v>
      </c>
      <c r="B13" s="25">
        <v>1157.3900000000001</v>
      </c>
      <c r="C13" s="25">
        <v>1155.58</v>
      </c>
      <c r="D13" s="26">
        <v>904.88</v>
      </c>
      <c r="E13" s="26">
        <v>808.2</v>
      </c>
      <c r="F13" s="26">
        <v>297.64</v>
      </c>
      <c r="G13" s="26">
        <v>196.88</v>
      </c>
      <c r="H13" s="26">
        <v>176.87</v>
      </c>
      <c r="I13" s="26">
        <v>167.09</v>
      </c>
      <c r="J13" s="26">
        <v>122.12</v>
      </c>
      <c r="P13" s="21"/>
      <c r="Q13" s="15"/>
    </row>
    <row r="14" spans="1:17" x14ac:dyDescent="0.2">
      <c r="B14" s="27"/>
      <c r="C14" s="27"/>
      <c r="D14" s="27"/>
      <c r="E14" s="26"/>
    </row>
    <row r="15" spans="1:17" x14ac:dyDescent="0.2">
      <c r="A15" s="5" t="s">
        <v>32</v>
      </c>
      <c r="B15" s="26">
        <v>681.84</v>
      </c>
      <c r="C15" s="26">
        <v>615.48</v>
      </c>
      <c r="D15" s="26">
        <v>427.28</v>
      </c>
      <c r="E15" s="26">
        <v>354.9</v>
      </c>
      <c r="F15" s="26">
        <v>324.89999999999998</v>
      </c>
      <c r="G15" s="26">
        <v>369.87</v>
      </c>
      <c r="H15" s="26">
        <v>300.58999999999997</v>
      </c>
      <c r="I15" s="26">
        <v>246.88</v>
      </c>
      <c r="J15" s="26">
        <v>205.02</v>
      </c>
      <c r="K15" s="15"/>
      <c r="L15" s="23"/>
      <c r="M15" s="15"/>
      <c r="N15" s="24"/>
      <c r="O15" s="15"/>
      <c r="P15" s="24"/>
      <c r="Q15" s="15"/>
    </row>
    <row r="16" spans="1:17" x14ac:dyDescent="0.2">
      <c r="A16" s="5" t="s">
        <v>23</v>
      </c>
      <c r="B16" s="26">
        <v>296.77</v>
      </c>
      <c r="C16" s="26">
        <v>235.9</v>
      </c>
      <c r="D16" s="26">
        <v>213.1</v>
      </c>
      <c r="E16" s="26">
        <v>205.78</v>
      </c>
      <c r="F16" s="26">
        <v>199.56</v>
      </c>
      <c r="G16" s="26">
        <v>223.67</v>
      </c>
      <c r="H16" s="26">
        <v>184.4</v>
      </c>
      <c r="I16" s="26">
        <v>163.36000000000001</v>
      </c>
      <c r="J16" s="26">
        <v>148.21</v>
      </c>
      <c r="L16" s="22"/>
      <c r="M16" s="15"/>
      <c r="N16" s="22"/>
      <c r="O16" s="15"/>
      <c r="P16" s="22"/>
      <c r="Q16" s="15"/>
    </row>
    <row r="17" spans="1:10" x14ac:dyDescent="0.2">
      <c r="A17" s="5" t="s">
        <v>25</v>
      </c>
      <c r="B17" s="27">
        <v>0.10879999999999999</v>
      </c>
      <c r="C17" s="27">
        <v>0.13039999999999999</v>
      </c>
      <c r="D17" s="27">
        <v>0.1239</v>
      </c>
      <c r="E17" s="27">
        <v>4.4200000000000003E-2</v>
      </c>
      <c r="F17" s="11">
        <v>2.76E-2</v>
      </c>
      <c r="G17" s="11">
        <v>5.96E-2</v>
      </c>
      <c r="H17" s="11">
        <v>6.4299999999999996E-2</v>
      </c>
      <c r="I17" s="11">
        <v>9.9400000000000002E-2</v>
      </c>
      <c r="J17" s="11">
        <v>0.14019999999999999</v>
      </c>
    </row>
    <row r="18" spans="1:10" x14ac:dyDescent="0.2">
      <c r="B18" s="26"/>
    </row>
    <row r="19" spans="1:10" x14ac:dyDescent="0.2">
      <c r="A19" s="5" t="s">
        <v>35</v>
      </c>
      <c r="B19" s="26"/>
      <c r="C19" s="27"/>
      <c r="D19" s="27"/>
      <c r="E19" s="26"/>
      <c r="F19" s="26"/>
      <c r="H19" s="11"/>
      <c r="J19" s="11"/>
    </row>
    <row r="20" spans="1:10" x14ac:dyDescent="0.2">
      <c r="A20" s="5" t="s">
        <v>36</v>
      </c>
      <c r="B20" s="26"/>
      <c r="C20" s="27"/>
      <c r="D20" s="27"/>
      <c r="E20" s="26"/>
      <c r="F20" s="11"/>
      <c r="H20" s="11"/>
      <c r="J20" s="11"/>
    </row>
    <row r="21" spans="1:10" x14ac:dyDescent="0.2">
      <c r="A21" s="5" t="s">
        <v>37</v>
      </c>
      <c r="B21" s="26"/>
      <c r="C21" s="27"/>
      <c r="D21" s="27"/>
      <c r="E21" s="26"/>
      <c r="F21" s="11"/>
      <c r="H21" s="11"/>
      <c r="J21" s="11"/>
    </row>
    <row r="22" spans="1:10" x14ac:dyDescent="0.2">
      <c r="A22" s="5" t="s">
        <v>38</v>
      </c>
      <c r="B22" s="26"/>
      <c r="D22" s="11"/>
      <c r="F22" s="11"/>
      <c r="H22" s="11"/>
      <c r="J22" s="11"/>
    </row>
    <row r="23" spans="1:10" x14ac:dyDescent="0.2">
      <c r="B23" s="26"/>
      <c r="D23" s="11"/>
      <c r="F23" s="11"/>
      <c r="H23" s="11"/>
      <c r="J23" s="11"/>
    </row>
    <row r="24" spans="1:10" x14ac:dyDescent="0.2">
      <c r="B24" s="26"/>
    </row>
    <row r="25" spans="1:10" x14ac:dyDescent="0.2">
      <c r="A25" s="29" t="s">
        <v>41</v>
      </c>
      <c r="B25" s="26">
        <v>0.53</v>
      </c>
      <c r="C25" s="26">
        <v>0.55000000000000004</v>
      </c>
      <c r="D25" s="26">
        <v>0.64</v>
      </c>
      <c r="E25" s="26">
        <v>0.63</v>
      </c>
      <c r="F25" s="26">
        <v>0.69</v>
      </c>
      <c r="G25" s="26">
        <v>0.66</v>
      </c>
      <c r="H25" s="26">
        <v>0.63</v>
      </c>
      <c r="I25" s="26">
        <v>0.73</v>
      </c>
      <c r="J25" s="26">
        <v>0.39</v>
      </c>
    </row>
    <row r="26" spans="1:10" x14ac:dyDescent="0.2">
      <c r="B26" s="26"/>
    </row>
    <row r="27" spans="1:10" x14ac:dyDescent="0.2">
      <c r="A27" s="6" t="s">
        <v>0</v>
      </c>
    </row>
    <row r="28" spans="1:10" x14ac:dyDescent="0.2">
      <c r="A28" s="7" t="s">
        <v>1</v>
      </c>
      <c r="B28" s="12">
        <f>B2/B3</f>
        <v>0</v>
      </c>
      <c r="C28" s="12">
        <f t="shared" ref="C28:J28" si="0">C2/C3</f>
        <v>0</v>
      </c>
      <c r="D28" s="12">
        <f t="shared" si="0"/>
        <v>0</v>
      </c>
      <c r="E28" s="12">
        <f t="shared" si="0"/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  <c r="I28" s="12">
        <f t="shared" si="0"/>
        <v>0</v>
      </c>
      <c r="J28" s="12">
        <f t="shared" si="0"/>
        <v>0</v>
      </c>
    </row>
    <row r="29" spans="1:10" x14ac:dyDescent="0.2">
      <c r="A29" s="4" t="s">
        <v>2</v>
      </c>
      <c r="B29" s="12">
        <f>B12/B3</f>
        <v>0.23296023817021155</v>
      </c>
      <c r="C29" s="12">
        <f t="shared" ref="C29:J29" si="1">C12/C3</f>
        <v>0.31169954321385607</v>
      </c>
      <c r="D29" s="12">
        <f t="shared" si="1"/>
        <v>0.39385872727746463</v>
      </c>
      <c r="E29" s="12">
        <f t="shared" si="1"/>
        <v>0.27755306763851884</v>
      </c>
      <c r="F29" s="12">
        <f t="shared" si="1"/>
        <v>0.26951073051015612</v>
      </c>
      <c r="G29" s="12">
        <f t="shared" si="1"/>
        <v>0.22836431860822104</v>
      </c>
      <c r="H29" s="12">
        <f t="shared" si="1"/>
        <v>0.20577557413438999</v>
      </c>
      <c r="I29" s="12">
        <f t="shared" si="1"/>
        <v>0.48522179480936845</v>
      </c>
      <c r="J29" s="12">
        <f t="shared" si="1"/>
        <v>4.718355861514497E-2</v>
      </c>
    </row>
    <row r="30" spans="1:10" x14ac:dyDescent="0.2">
      <c r="A30" s="4" t="s">
        <v>3</v>
      </c>
      <c r="B30" s="12">
        <f>B11/B3</f>
        <v>0.29372962937214503</v>
      </c>
      <c r="C30" s="12">
        <f t="shared" ref="C30:J30" si="2">C11/C3</f>
        <v>0.23403803668440873</v>
      </c>
      <c r="D30" s="12">
        <f t="shared" si="2"/>
        <v>0.21318580150947983</v>
      </c>
      <c r="E30" s="12">
        <f t="shared" si="2"/>
        <v>0.35054781724393397</v>
      </c>
      <c r="F30" s="12">
        <f t="shared" si="2"/>
        <v>0.41965432614484882</v>
      </c>
      <c r="G30" s="12">
        <f t="shared" si="2"/>
        <v>0.43583489681050658</v>
      </c>
      <c r="H30" s="12">
        <f t="shared" si="2"/>
        <v>0.4273178017965687</v>
      </c>
      <c r="I30" s="12">
        <f t="shared" si="2"/>
        <v>0.23721413383973641</v>
      </c>
      <c r="J30" s="12">
        <f t="shared" si="2"/>
        <v>0.33922918446309236</v>
      </c>
    </row>
    <row r="33" spans="1:10" x14ac:dyDescent="0.2">
      <c r="A33" s="6" t="s">
        <v>14</v>
      </c>
    </row>
    <row r="34" spans="1:10" x14ac:dyDescent="0.2">
      <c r="A34" s="7" t="s">
        <v>39</v>
      </c>
    </row>
    <row r="35" spans="1:10" x14ac:dyDescent="0.2">
      <c r="A35" s="7" t="s">
        <v>15</v>
      </c>
      <c r="B35" s="8">
        <f t="shared" ref="B35:J35" si="3">B34/B3</f>
        <v>0</v>
      </c>
      <c r="C35" s="8">
        <f t="shared" si="3"/>
        <v>0</v>
      </c>
      <c r="D35" s="8">
        <f t="shared" si="3"/>
        <v>0</v>
      </c>
      <c r="E35" s="8">
        <f t="shared" si="3"/>
        <v>0</v>
      </c>
      <c r="F35" s="8">
        <f t="shared" si="3"/>
        <v>0</v>
      </c>
      <c r="G35" s="8">
        <f t="shared" si="3"/>
        <v>0</v>
      </c>
      <c r="H35" s="8">
        <f t="shared" si="3"/>
        <v>0</v>
      </c>
      <c r="I35" s="8">
        <f t="shared" si="3"/>
        <v>0</v>
      </c>
      <c r="J35" s="8">
        <f t="shared" si="3"/>
        <v>0</v>
      </c>
    </row>
    <row r="36" spans="1:10" x14ac:dyDescent="0.2">
      <c r="A36" s="4" t="s">
        <v>16</v>
      </c>
      <c r="B36" s="12">
        <f>B16-(B13*B17)</f>
        <v>170.84596799999997</v>
      </c>
      <c r="C36" s="12">
        <f t="shared" ref="C36:J36" si="4">C16-(C13*C17)</f>
        <v>85.212368000000026</v>
      </c>
      <c r="D36" s="12">
        <f t="shared" si="4"/>
        <v>100.98536799999999</v>
      </c>
      <c r="E36" s="12">
        <f t="shared" si="4"/>
        <v>170.05756</v>
      </c>
      <c r="F36" s="12">
        <f t="shared" si="4"/>
        <v>191.345136</v>
      </c>
      <c r="G36" s="12">
        <f t="shared" si="4"/>
        <v>211.93595199999999</v>
      </c>
      <c r="H36" s="12">
        <f t="shared" si="4"/>
        <v>173.02725900000002</v>
      </c>
      <c r="I36" s="12">
        <f t="shared" si="4"/>
        <v>146.75125400000002</v>
      </c>
      <c r="J36" s="12">
        <f t="shared" si="4"/>
        <v>131.088776</v>
      </c>
    </row>
    <row r="37" spans="1:10" x14ac:dyDescent="0.2">
      <c r="A37" s="5" t="s">
        <v>17</v>
      </c>
      <c r="B37" s="28">
        <v>6.5500000000000003E-2</v>
      </c>
      <c r="C37" s="28">
        <v>5.57E-2</v>
      </c>
      <c r="D37" s="28">
        <v>5.67E-2</v>
      </c>
      <c r="E37" s="28">
        <v>8.6499999999999994E-2</v>
      </c>
      <c r="F37" s="28">
        <v>0.2034</v>
      </c>
      <c r="G37" s="28">
        <v>0.36480000000000001</v>
      </c>
      <c r="H37" s="28">
        <v>0.36870000000000003</v>
      </c>
      <c r="I37" s="28">
        <v>0.25869999999999999</v>
      </c>
      <c r="J37" s="28">
        <v>0.72899999999999998</v>
      </c>
    </row>
    <row r="38" spans="1:10" x14ac:dyDescent="0.2">
      <c r="A38" s="30" t="s">
        <v>18</v>
      </c>
      <c r="B38" s="28">
        <v>0.29299999999999998</v>
      </c>
      <c r="C38" s="28">
        <v>0.29399999999999998</v>
      </c>
      <c r="D38" s="28">
        <v>0.34449999999999997</v>
      </c>
      <c r="E38" s="28">
        <v>0.59940000000000004</v>
      </c>
      <c r="F38" s="28">
        <v>0.68459999999999999</v>
      </c>
      <c r="G38" s="28">
        <v>1.1435</v>
      </c>
      <c r="H38" s="28">
        <v>1.0518000000000001</v>
      </c>
      <c r="I38" s="28">
        <v>0.98440000000000005</v>
      </c>
      <c r="J38" s="28">
        <v>1.2525999999999999</v>
      </c>
    </row>
    <row r="39" spans="1:10" x14ac:dyDescent="0.2">
      <c r="A39" s="13" t="s">
        <v>19</v>
      </c>
      <c r="B39" s="28">
        <v>0.1273</v>
      </c>
      <c r="C39" s="28">
        <v>0.12620000000000001</v>
      </c>
      <c r="D39" s="28">
        <v>0.1399</v>
      </c>
      <c r="E39" s="28">
        <v>0.23019999999999999</v>
      </c>
      <c r="F39" s="28">
        <v>0.24249999999999999</v>
      </c>
      <c r="G39" s="28">
        <v>0.31369999999999998</v>
      </c>
      <c r="H39" s="28">
        <v>0.30380000000000001</v>
      </c>
      <c r="I39" s="28">
        <v>0.3009</v>
      </c>
      <c r="J39" s="28">
        <v>0.35930000000000001</v>
      </c>
    </row>
    <row r="40" spans="1:10" x14ac:dyDescent="0.2">
      <c r="A40" s="5" t="s">
        <v>20</v>
      </c>
      <c r="B40" s="26">
        <v>0.66</v>
      </c>
      <c r="C40" s="26">
        <v>0.96</v>
      </c>
      <c r="D40" s="26">
        <v>0.93</v>
      </c>
      <c r="E40" s="26">
        <v>0.69</v>
      </c>
      <c r="F40" s="26">
        <v>0.88</v>
      </c>
      <c r="G40" s="26">
        <v>0.53</v>
      </c>
      <c r="H40" s="26">
        <v>0.6</v>
      </c>
      <c r="I40" s="26">
        <v>0.55000000000000004</v>
      </c>
      <c r="J40" s="26">
        <v>2</v>
      </c>
    </row>
    <row r="41" spans="1:10" x14ac:dyDescent="0.2">
      <c r="A41" s="4" t="s">
        <v>21</v>
      </c>
      <c r="B41" s="12">
        <f>(B5+B4)/(B11+B12)</f>
        <v>0.47933877880613701</v>
      </c>
      <c r="C41" s="12">
        <f t="shared" ref="C41:J41" si="5">(C5+C4)/(C11+C12)</f>
        <v>0.45363327282680738</v>
      </c>
      <c r="D41" s="12">
        <f t="shared" si="5"/>
        <v>0.3965905757963788</v>
      </c>
      <c r="E41" s="12">
        <f t="shared" si="5"/>
        <v>0.44198040982585712</v>
      </c>
      <c r="F41" s="12">
        <f t="shared" si="5"/>
        <v>0.67542543680198819</v>
      </c>
      <c r="G41" s="12">
        <f t="shared" si="5"/>
        <v>0.44224744491808332</v>
      </c>
      <c r="H41" s="12">
        <f t="shared" si="5"/>
        <v>0.54559753579971826</v>
      </c>
      <c r="I41" s="12">
        <f t="shared" si="5"/>
        <v>0.25394293417209612</v>
      </c>
      <c r="J41" s="12">
        <f t="shared" si="5"/>
        <v>2.0915474642392717</v>
      </c>
    </row>
    <row r="43" spans="1:10" x14ac:dyDescent="0.2">
      <c r="A43" s="6" t="s">
        <v>26</v>
      </c>
    </row>
    <row r="44" spans="1:10" x14ac:dyDescent="0.2">
      <c r="A44" s="4" t="s">
        <v>27</v>
      </c>
      <c r="B44" s="12">
        <f>LOG10(B3)</f>
        <v>3.3883339238912149</v>
      </c>
      <c r="C44" s="12">
        <f t="shared" ref="C44:J44" si="6">LOG10(C3)</f>
        <v>3.4054932064651666</v>
      </c>
      <c r="D44" s="12">
        <f t="shared" si="6"/>
        <v>3.3622524488848171</v>
      </c>
      <c r="E44" s="12">
        <f t="shared" si="6"/>
        <v>3.3370937010900166</v>
      </c>
      <c r="F44" s="12">
        <f t="shared" si="6"/>
        <v>2.9811614606115748</v>
      </c>
      <c r="G44" s="12">
        <f t="shared" si="6"/>
        <v>2.7681198941847973</v>
      </c>
      <c r="H44" s="12">
        <f t="shared" si="6"/>
        <v>2.6830740681745597</v>
      </c>
      <c r="I44" s="12">
        <f t="shared" si="6"/>
        <v>2.7896582578269657</v>
      </c>
      <c r="J44" s="12">
        <f t="shared" si="6"/>
        <v>2.2988748997046988</v>
      </c>
    </row>
    <row r="45" spans="1:10" x14ac:dyDescent="0.2">
      <c r="A45" s="4" t="s">
        <v>28</v>
      </c>
      <c r="B45" s="8">
        <f>B15-B16</f>
        <v>385.07000000000005</v>
      </c>
      <c r="C45" s="8">
        <f t="shared" ref="C45:J45" si="7">C15-C16</f>
        <v>379.58000000000004</v>
      </c>
      <c r="D45" s="8">
        <f t="shared" si="7"/>
        <v>214.17999999999998</v>
      </c>
      <c r="E45" s="8">
        <f t="shared" si="7"/>
        <v>149.11999999999998</v>
      </c>
      <c r="F45" s="8">
        <f t="shared" si="7"/>
        <v>125.33999999999997</v>
      </c>
      <c r="G45" s="8">
        <f t="shared" si="7"/>
        <v>146.20000000000002</v>
      </c>
      <c r="H45" s="8">
        <f t="shared" si="7"/>
        <v>116.18999999999997</v>
      </c>
      <c r="I45" s="8">
        <f t="shared" si="7"/>
        <v>83.519999999999982</v>
      </c>
      <c r="J45" s="8">
        <f t="shared" si="7"/>
        <v>56.81</v>
      </c>
    </row>
    <row r="46" spans="1:10" x14ac:dyDescent="0.2">
      <c r="A46" s="4" t="s">
        <v>29</v>
      </c>
      <c r="B46" s="12">
        <f>(B6+B7)/B3</f>
        <v>9.9050836090311664E-2</v>
      </c>
      <c r="C46" s="12">
        <f t="shared" ref="C46:J46" si="8">(C6+C7)/C3</f>
        <v>8.5747643345152641E-2</v>
      </c>
      <c r="D46" s="12">
        <f t="shared" si="8"/>
        <v>6.4769539426258682E-2</v>
      </c>
      <c r="E46" s="12">
        <f t="shared" si="8"/>
        <v>6.9635601448575113E-2</v>
      </c>
      <c r="F46" s="12">
        <f t="shared" si="8"/>
        <v>0.14432666701477728</v>
      </c>
      <c r="G46" s="12">
        <f t="shared" si="8"/>
        <v>0.22483370288248339</v>
      </c>
      <c r="H46" s="12">
        <f t="shared" si="8"/>
        <v>5.559819928220236E-2</v>
      </c>
      <c r="I46" s="12">
        <f t="shared" si="8"/>
        <v>2.4914382172014738E-2</v>
      </c>
      <c r="J46" s="12">
        <f t="shared" si="8"/>
        <v>4.8590523089291994E-2</v>
      </c>
    </row>
    <row r="47" spans="1:10" x14ac:dyDescent="0.2">
      <c r="A47" s="7" t="s">
        <v>30</v>
      </c>
    </row>
    <row r="48" spans="1:10" x14ac:dyDescent="0.2">
      <c r="A48" s="4" t="s">
        <v>31</v>
      </c>
      <c r="B48" s="12">
        <f>(B3-B13+B34)/B3</f>
        <v>0.52668986754235658</v>
      </c>
      <c r="C48" s="12">
        <f t="shared" ref="C48:J48" si="9">(C3-C13+C34)/C3</f>
        <v>0.54573757989826488</v>
      </c>
      <c r="D48" s="12">
        <f t="shared" si="9"/>
        <v>0.60704887136417718</v>
      </c>
      <c r="E48" s="12">
        <f t="shared" si="9"/>
        <v>0.62810088488245286</v>
      </c>
      <c r="F48" s="12">
        <f t="shared" si="9"/>
        <v>0.68916505665500494</v>
      </c>
      <c r="G48" s="12">
        <f t="shared" si="9"/>
        <v>0.66419921541872762</v>
      </c>
      <c r="H48" s="12">
        <f t="shared" si="9"/>
        <v>0.63307263033421157</v>
      </c>
      <c r="I48" s="12">
        <f t="shared" si="9"/>
        <v>0.72879842885199064</v>
      </c>
      <c r="J48" s="12">
        <f t="shared" si="9"/>
        <v>0.38636249434701769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GERAL</vt:lpstr>
      <vt:lpstr>APER3</vt:lpstr>
      <vt:lpstr>BBSE3</vt:lpstr>
      <vt:lpstr>BRGE3</vt:lpstr>
      <vt:lpstr>CSAB3</vt:lpstr>
      <vt:lpstr>CXSE3</vt:lpstr>
      <vt:lpstr>IRBR3</vt:lpstr>
      <vt:lpstr>PSSA3</vt:lpstr>
      <vt:lpstr>SULA3</vt:lpstr>
      <vt:lpstr>WIZC3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Alcantera Dubeski</dc:creator>
  <cp:lastModifiedBy>Felipe Alcantera Dubeski</cp:lastModifiedBy>
  <dcterms:created xsi:type="dcterms:W3CDTF">2025-06-22T14:45:07Z</dcterms:created>
  <dcterms:modified xsi:type="dcterms:W3CDTF">2025-06-22T19:18:03Z</dcterms:modified>
</cp:coreProperties>
</file>